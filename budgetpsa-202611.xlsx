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as\OneDrive\Bureau\CODE HTML\Developpements\APP KENT VERCEL\"/>
    </mc:Choice>
  </mc:AlternateContent>
  <xr:revisionPtr revIDLastSave="0" documentId="13_ncr:1_{E5E00B88-E1C4-4D57-BFDF-F2EA275BB42C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Budget2026" sheetId="1" r:id="rId1"/>
    <sheet name="Feuil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" i="1" l="1"/>
  <c r="AE4" i="1"/>
  <c r="AD5" i="1"/>
  <c r="AE5" i="1"/>
  <c r="AD6" i="1"/>
  <c r="AE6" i="1"/>
  <c r="AD7" i="1"/>
  <c r="AE7" i="1"/>
  <c r="AD8" i="1"/>
  <c r="AE8" i="1"/>
  <c r="AD9" i="1"/>
  <c r="AE9" i="1"/>
  <c r="AD10" i="1"/>
  <c r="AE10" i="1"/>
  <c r="AD11" i="1"/>
  <c r="AE11" i="1"/>
  <c r="AD12" i="1"/>
  <c r="AE12" i="1"/>
  <c r="AD13" i="1"/>
  <c r="AE13" i="1"/>
  <c r="AD14" i="1"/>
  <c r="AE14" i="1"/>
  <c r="AD15" i="1"/>
  <c r="AE15" i="1"/>
  <c r="AD16" i="1"/>
  <c r="AE16" i="1"/>
  <c r="AD17" i="1"/>
  <c r="AE17" i="1"/>
  <c r="AD18" i="1"/>
  <c r="AE18" i="1"/>
  <c r="AD19" i="1"/>
  <c r="AE19" i="1"/>
  <c r="AD20" i="1"/>
  <c r="AE20" i="1"/>
  <c r="AD21" i="1"/>
  <c r="AE21" i="1"/>
  <c r="AD22" i="1"/>
  <c r="AE22" i="1"/>
  <c r="AD23" i="1"/>
  <c r="AE23" i="1"/>
  <c r="AD24" i="1"/>
  <c r="AE24" i="1"/>
  <c r="AD25" i="1"/>
  <c r="AE25" i="1"/>
  <c r="AD26" i="1"/>
  <c r="AE26" i="1"/>
  <c r="AD27" i="1"/>
  <c r="AE27" i="1"/>
  <c r="AD28" i="1"/>
  <c r="AE28" i="1"/>
  <c r="AD29" i="1"/>
  <c r="AE29" i="1"/>
  <c r="AD30" i="1"/>
  <c r="AE30" i="1"/>
  <c r="AD31" i="1"/>
  <c r="AE31" i="1"/>
  <c r="AD32" i="1"/>
  <c r="AE32" i="1"/>
  <c r="AD33" i="1"/>
  <c r="AE33" i="1"/>
  <c r="AD34" i="1"/>
  <c r="AE34" i="1"/>
  <c r="AD35" i="1"/>
  <c r="AE35" i="1"/>
  <c r="AD36" i="1"/>
  <c r="AE36" i="1"/>
  <c r="AD37" i="1"/>
  <c r="AE37" i="1"/>
  <c r="AD38" i="1"/>
  <c r="AE38" i="1"/>
  <c r="AD39" i="1"/>
  <c r="AE39" i="1"/>
  <c r="AD40" i="1"/>
  <c r="AE40" i="1"/>
  <c r="AD41" i="1"/>
  <c r="AE41" i="1"/>
  <c r="AD42" i="1"/>
  <c r="AE42" i="1"/>
  <c r="AD43" i="1"/>
  <c r="AE43" i="1"/>
  <c r="AD44" i="1"/>
  <c r="AE44" i="1"/>
  <c r="AD45" i="1"/>
  <c r="AE45" i="1"/>
  <c r="AD46" i="1"/>
  <c r="AE46" i="1"/>
  <c r="AD47" i="1"/>
  <c r="AE47" i="1"/>
  <c r="AD48" i="1"/>
  <c r="AE48" i="1"/>
  <c r="AD49" i="1"/>
  <c r="AE49" i="1"/>
  <c r="AD50" i="1"/>
  <c r="AE50" i="1"/>
  <c r="AD51" i="1"/>
  <c r="AE51" i="1"/>
  <c r="AD52" i="1"/>
  <c r="AE52" i="1"/>
  <c r="AD53" i="1"/>
  <c r="AE53" i="1"/>
  <c r="AD54" i="1"/>
  <c r="AE54" i="1"/>
  <c r="AD55" i="1"/>
  <c r="AE55" i="1"/>
  <c r="AD56" i="1"/>
  <c r="AE56" i="1"/>
  <c r="AD57" i="1"/>
  <c r="AE57" i="1"/>
  <c r="AD58" i="1"/>
  <c r="AE58" i="1"/>
  <c r="AD59" i="1"/>
  <c r="AE59" i="1"/>
  <c r="AD60" i="1"/>
  <c r="AE60" i="1"/>
  <c r="AD61" i="1"/>
  <c r="AE61" i="1"/>
  <c r="AD62" i="1"/>
  <c r="AE62" i="1"/>
  <c r="AD63" i="1"/>
  <c r="AE63" i="1"/>
  <c r="AD64" i="1"/>
  <c r="AE64" i="1"/>
  <c r="AD65" i="1"/>
  <c r="AE65" i="1"/>
  <c r="AD66" i="1"/>
  <c r="AE66" i="1"/>
  <c r="AD67" i="1"/>
  <c r="AE67" i="1"/>
  <c r="AD68" i="1"/>
  <c r="AE68" i="1"/>
  <c r="AD69" i="1"/>
  <c r="AE69" i="1"/>
  <c r="AD70" i="1"/>
  <c r="AE70" i="1"/>
  <c r="AD71" i="1"/>
  <c r="AE71" i="1"/>
  <c r="AD72" i="1"/>
  <c r="AE72" i="1"/>
  <c r="AD73" i="1"/>
  <c r="AE73" i="1"/>
  <c r="AD74" i="1"/>
  <c r="AE74" i="1"/>
  <c r="AD75" i="1"/>
  <c r="AE75" i="1"/>
  <c r="AD76" i="1"/>
  <c r="AE76" i="1"/>
  <c r="AD77" i="1"/>
  <c r="AE77" i="1"/>
  <c r="AD78" i="1"/>
  <c r="AE78" i="1"/>
  <c r="AD79" i="1"/>
  <c r="AE79" i="1"/>
  <c r="AD80" i="1"/>
  <c r="AE80" i="1"/>
  <c r="AD81" i="1"/>
  <c r="AE81" i="1"/>
  <c r="AD82" i="1"/>
  <c r="AE82" i="1"/>
  <c r="AD83" i="1"/>
  <c r="AE83" i="1"/>
  <c r="AD84" i="1"/>
  <c r="AE84" i="1"/>
  <c r="AD85" i="1"/>
  <c r="AE85" i="1"/>
  <c r="AD86" i="1"/>
  <c r="AE86" i="1"/>
  <c r="AD87" i="1"/>
  <c r="AE87" i="1"/>
  <c r="AD88" i="1"/>
  <c r="AE88" i="1"/>
  <c r="AD89" i="1"/>
  <c r="AE89" i="1"/>
  <c r="AD90" i="1"/>
  <c r="AE90" i="1"/>
  <c r="AD91" i="1"/>
  <c r="AE91" i="1"/>
  <c r="AD92" i="1"/>
  <c r="AE92" i="1"/>
  <c r="AD93" i="1"/>
  <c r="AE93" i="1"/>
  <c r="AD94" i="1"/>
  <c r="AE94" i="1"/>
  <c r="AD95" i="1"/>
  <c r="AE95" i="1"/>
  <c r="AD96" i="1"/>
  <c r="AE96" i="1"/>
  <c r="AD97" i="1"/>
  <c r="AE97" i="1"/>
  <c r="AD98" i="1"/>
  <c r="AE98" i="1"/>
  <c r="AD99" i="1"/>
  <c r="AE99" i="1"/>
  <c r="AD100" i="1"/>
  <c r="AE100" i="1"/>
  <c r="AD101" i="1"/>
  <c r="AE101" i="1"/>
  <c r="AD102" i="1"/>
  <c r="AE102" i="1"/>
  <c r="AD103" i="1"/>
  <c r="AE103" i="1"/>
  <c r="AD104" i="1"/>
  <c r="AE104" i="1"/>
  <c r="AD105" i="1"/>
  <c r="AE105" i="1"/>
  <c r="AD106" i="1"/>
  <c r="AE106" i="1"/>
  <c r="AD107" i="1"/>
  <c r="AE107" i="1"/>
  <c r="AD108" i="1"/>
  <c r="AE108" i="1"/>
  <c r="AD109" i="1"/>
  <c r="AE109" i="1"/>
  <c r="AD110" i="1"/>
  <c r="AE110" i="1"/>
  <c r="AD111" i="1"/>
  <c r="AE111" i="1"/>
  <c r="AD112" i="1"/>
  <c r="AE112" i="1"/>
  <c r="AD113" i="1"/>
  <c r="AE113" i="1"/>
  <c r="AD114" i="1"/>
  <c r="AE114" i="1"/>
  <c r="AD115" i="1"/>
  <c r="AE115" i="1"/>
  <c r="AD116" i="1"/>
  <c r="AE116" i="1"/>
  <c r="AD117" i="1"/>
  <c r="AE117" i="1"/>
  <c r="AD118" i="1"/>
  <c r="AE118" i="1"/>
  <c r="AD119" i="1"/>
  <c r="AE119" i="1"/>
  <c r="AD120" i="1"/>
  <c r="AE120" i="1"/>
  <c r="AD121" i="1"/>
  <c r="AE121" i="1"/>
  <c r="AD122" i="1"/>
  <c r="AE122" i="1"/>
  <c r="AD123" i="1"/>
  <c r="AE123" i="1"/>
  <c r="AD124" i="1"/>
  <c r="AE124" i="1"/>
  <c r="AD125" i="1"/>
  <c r="AE125" i="1"/>
  <c r="AD126" i="1"/>
  <c r="AE126" i="1"/>
  <c r="AD127" i="1"/>
  <c r="AE127" i="1"/>
  <c r="AD128" i="1"/>
  <c r="AE128" i="1"/>
  <c r="AD129" i="1"/>
  <c r="AE129" i="1"/>
  <c r="AD130" i="1"/>
  <c r="AE130" i="1"/>
  <c r="AD131" i="1"/>
  <c r="AE131" i="1"/>
  <c r="AD132" i="1"/>
  <c r="AE132" i="1"/>
  <c r="AD133" i="1"/>
  <c r="AE133" i="1"/>
  <c r="AD134" i="1"/>
  <c r="AE134" i="1"/>
  <c r="AD135" i="1"/>
  <c r="AE135" i="1"/>
  <c r="AD136" i="1"/>
  <c r="AE136" i="1"/>
  <c r="AD137" i="1"/>
  <c r="AE137" i="1"/>
  <c r="AD138" i="1"/>
  <c r="AE138" i="1"/>
  <c r="AD139" i="1"/>
  <c r="AE139" i="1"/>
  <c r="AD140" i="1"/>
  <c r="AE140" i="1"/>
  <c r="AD141" i="1"/>
  <c r="AE141" i="1"/>
  <c r="AD142" i="1"/>
  <c r="AE142" i="1"/>
  <c r="AD143" i="1"/>
  <c r="AE143" i="1"/>
  <c r="AD144" i="1"/>
  <c r="AE144" i="1"/>
  <c r="AD145" i="1"/>
  <c r="AE145" i="1"/>
  <c r="AD146" i="1"/>
  <c r="AE146" i="1"/>
  <c r="AD147" i="1"/>
  <c r="AE147" i="1"/>
  <c r="AD148" i="1"/>
  <c r="AE148" i="1"/>
  <c r="AD149" i="1"/>
  <c r="AE149" i="1"/>
  <c r="AD150" i="1"/>
  <c r="AE150" i="1"/>
  <c r="AD151" i="1"/>
  <c r="AE151" i="1"/>
  <c r="AD152" i="1"/>
  <c r="AE152" i="1"/>
  <c r="AD153" i="1"/>
  <c r="AE153" i="1"/>
  <c r="AD154" i="1"/>
  <c r="AE154" i="1"/>
  <c r="AD155" i="1"/>
  <c r="AE155" i="1"/>
  <c r="AD156" i="1"/>
  <c r="AE156" i="1"/>
  <c r="AD157" i="1"/>
  <c r="AE157" i="1"/>
  <c r="AD158" i="1"/>
  <c r="AE158" i="1"/>
  <c r="AD159" i="1"/>
  <c r="AE159" i="1"/>
  <c r="AD160" i="1"/>
  <c r="AE160" i="1"/>
  <c r="AD161" i="1"/>
  <c r="AE161" i="1"/>
  <c r="AD162" i="1"/>
  <c r="AE162" i="1"/>
  <c r="AD163" i="1"/>
  <c r="AE163" i="1"/>
  <c r="AD164" i="1"/>
  <c r="AE164" i="1"/>
  <c r="AD165" i="1"/>
  <c r="AE165" i="1"/>
  <c r="AD166" i="1"/>
  <c r="AE166" i="1"/>
  <c r="AD167" i="1"/>
  <c r="AE167" i="1"/>
  <c r="AD168" i="1"/>
  <c r="AE168" i="1"/>
  <c r="AD169" i="1"/>
  <c r="AE169" i="1"/>
  <c r="AD170" i="1"/>
  <c r="AE170" i="1"/>
  <c r="AD171" i="1"/>
  <c r="AE171" i="1"/>
  <c r="AD172" i="1"/>
  <c r="AE172" i="1"/>
  <c r="AD173" i="1"/>
  <c r="AE173" i="1"/>
  <c r="AD174" i="1"/>
  <c r="AE174" i="1"/>
  <c r="AD175" i="1"/>
  <c r="AE175" i="1"/>
  <c r="AD176" i="1"/>
  <c r="AE176" i="1"/>
  <c r="AD177" i="1"/>
  <c r="AE177" i="1"/>
  <c r="AD178" i="1"/>
  <c r="AE178" i="1"/>
  <c r="AD179" i="1"/>
  <c r="AE179" i="1"/>
  <c r="AD180" i="1"/>
  <c r="AE180" i="1"/>
  <c r="AD181" i="1"/>
  <c r="AE181" i="1"/>
  <c r="AD182" i="1"/>
  <c r="AE182" i="1"/>
  <c r="AD183" i="1"/>
  <c r="AE183" i="1"/>
  <c r="AD184" i="1"/>
  <c r="AE184" i="1"/>
  <c r="AD185" i="1"/>
  <c r="AE185" i="1"/>
  <c r="AD186" i="1"/>
  <c r="AE186" i="1"/>
  <c r="AD187" i="1"/>
  <c r="AE187" i="1"/>
  <c r="AD188" i="1"/>
  <c r="AE188" i="1"/>
  <c r="AD189" i="1"/>
  <c r="AE189" i="1"/>
  <c r="AD190" i="1"/>
  <c r="AE190" i="1"/>
  <c r="AD191" i="1"/>
  <c r="AE191" i="1"/>
  <c r="AD192" i="1"/>
  <c r="AE192" i="1"/>
  <c r="AD193" i="1"/>
  <c r="AE193" i="1"/>
  <c r="AD194" i="1"/>
  <c r="AE194" i="1"/>
  <c r="AD195" i="1"/>
  <c r="AE195" i="1"/>
  <c r="AD196" i="1"/>
  <c r="AE196" i="1"/>
  <c r="AD197" i="1"/>
  <c r="AE197" i="1"/>
  <c r="AD198" i="1"/>
  <c r="AE198" i="1"/>
  <c r="AD199" i="1"/>
  <c r="AE199" i="1"/>
  <c r="AD200" i="1"/>
  <c r="AE200" i="1"/>
  <c r="AD201" i="1"/>
  <c r="AE201" i="1"/>
  <c r="AD202" i="1"/>
  <c r="AE202" i="1"/>
  <c r="AD203" i="1"/>
  <c r="AE203" i="1"/>
  <c r="AD204" i="1"/>
  <c r="AE204" i="1"/>
  <c r="AD205" i="1"/>
  <c r="AE205" i="1"/>
  <c r="AD206" i="1"/>
  <c r="AE206" i="1"/>
  <c r="AD207" i="1"/>
  <c r="AE207" i="1"/>
  <c r="AD208" i="1"/>
  <c r="AE208" i="1"/>
  <c r="AD209" i="1"/>
  <c r="AE209" i="1"/>
  <c r="AD210" i="1"/>
  <c r="AE210" i="1"/>
  <c r="AD211" i="1"/>
  <c r="AE211" i="1"/>
  <c r="AD212" i="1"/>
  <c r="AE212" i="1"/>
  <c r="AD213" i="1"/>
  <c r="AE213" i="1"/>
  <c r="AD214" i="1"/>
  <c r="AE214" i="1"/>
  <c r="AD215" i="1"/>
  <c r="AE215" i="1"/>
  <c r="AD216" i="1"/>
  <c r="AE216" i="1"/>
  <c r="AD217" i="1"/>
  <c r="AE217" i="1"/>
  <c r="AD218" i="1"/>
  <c r="AE218" i="1"/>
  <c r="AD219" i="1"/>
  <c r="AE219" i="1"/>
  <c r="AD220" i="1"/>
  <c r="AE220" i="1"/>
  <c r="AD221" i="1"/>
  <c r="AE221" i="1"/>
  <c r="AD222" i="1"/>
  <c r="AE222" i="1"/>
  <c r="AD223" i="1"/>
  <c r="AE223" i="1"/>
  <c r="AD224" i="1"/>
  <c r="AE224" i="1"/>
  <c r="AD225" i="1"/>
  <c r="AE225" i="1"/>
  <c r="AD226" i="1"/>
  <c r="AE226" i="1"/>
  <c r="AD227" i="1"/>
  <c r="AE227" i="1"/>
  <c r="AD228" i="1"/>
  <c r="AE228" i="1"/>
  <c r="AD229" i="1"/>
  <c r="AE229" i="1"/>
  <c r="AD230" i="1"/>
  <c r="AE230" i="1"/>
  <c r="AD231" i="1"/>
  <c r="AE231" i="1"/>
  <c r="AD232" i="1"/>
  <c r="AE232" i="1"/>
  <c r="AD233" i="1"/>
  <c r="AE233" i="1"/>
  <c r="AD234" i="1"/>
  <c r="AE234" i="1"/>
  <c r="AD235" i="1"/>
  <c r="AE235" i="1"/>
  <c r="AD236" i="1"/>
  <c r="AE236" i="1"/>
  <c r="AD237" i="1"/>
  <c r="AE237" i="1"/>
  <c r="AD238" i="1"/>
  <c r="AE238" i="1"/>
  <c r="AD239" i="1"/>
  <c r="AE239" i="1"/>
  <c r="AD240" i="1"/>
  <c r="AE240" i="1"/>
  <c r="AD241" i="1"/>
  <c r="AE241" i="1"/>
  <c r="AD242" i="1"/>
  <c r="AE242" i="1"/>
  <c r="AD243" i="1"/>
  <c r="AE243" i="1"/>
  <c r="AD244" i="1"/>
  <c r="AE244" i="1"/>
  <c r="AD245" i="1"/>
  <c r="AE245" i="1"/>
  <c r="AD246" i="1"/>
  <c r="AE246" i="1"/>
  <c r="AD247" i="1"/>
  <c r="AE247" i="1"/>
  <c r="AD248" i="1"/>
  <c r="AE248" i="1"/>
  <c r="AD249" i="1"/>
  <c r="AE249" i="1"/>
  <c r="AD250" i="1"/>
  <c r="AE250" i="1"/>
  <c r="AD251" i="1"/>
  <c r="AE251" i="1"/>
  <c r="AD252" i="1"/>
  <c r="AE252" i="1"/>
  <c r="AD253" i="1"/>
  <c r="AE253" i="1"/>
  <c r="AD254" i="1"/>
  <c r="AE254" i="1"/>
  <c r="AD255" i="1"/>
  <c r="AE255" i="1"/>
  <c r="AD256" i="1"/>
  <c r="AE256" i="1"/>
  <c r="AD257" i="1"/>
  <c r="AE257" i="1"/>
  <c r="AD258" i="1"/>
  <c r="AE258" i="1"/>
  <c r="AD259" i="1"/>
  <c r="AE259" i="1"/>
  <c r="AD260" i="1"/>
  <c r="AE260" i="1"/>
  <c r="AD261" i="1"/>
  <c r="AE261" i="1"/>
  <c r="AD262" i="1"/>
  <c r="AE262" i="1"/>
  <c r="AD263" i="1"/>
  <c r="AE263" i="1"/>
  <c r="AD264" i="1"/>
  <c r="AE264" i="1"/>
  <c r="AD265" i="1"/>
  <c r="AE265" i="1"/>
  <c r="AD266" i="1"/>
  <c r="AE266" i="1"/>
  <c r="AD267" i="1"/>
  <c r="AE267" i="1"/>
  <c r="AD268" i="1"/>
  <c r="AE268" i="1"/>
  <c r="AD269" i="1"/>
  <c r="AE269" i="1"/>
  <c r="AD270" i="1"/>
  <c r="AE270" i="1"/>
  <c r="AD271" i="1"/>
  <c r="AE271" i="1"/>
  <c r="AD272" i="1"/>
  <c r="AE272" i="1"/>
  <c r="AD273" i="1"/>
  <c r="AE273" i="1"/>
  <c r="AD274" i="1"/>
  <c r="AE274" i="1"/>
  <c r="AD275" i="1"/>
  <c r="AE275" i="1"/>
  <c r="AD276" i="1"/>
  <c r="AE276" i="1"/>
  <c r="AD277" i="1"/>
  <c r="AE277" i="1"/>
  <c r="AD278" i="1"/>
  <c r="AE278" i="1"/>
  <c r="AD279" i="1"/>
  <c r="AE279" i="1"/>
  <c r="AD280" i="1"/>
  <c r="AE280" i="1"/>
  <c r="AD281" i="1"/>
  <c r="AE281" i="1"/>
  <c r="AD282" i="1"/>
  <c r="AE282" i="1"/>
  <c r="AD283" i="1"/>
  <c r="AE283" i="1"/>
  <c r="AD284" i="1"/>
  <c r="AE284" i="1"/>
  <c r="AD285" i="1"/>
  <c r="AE285" i="1"/>
  <c r="AD286" i="1"/>
  <c r="AE286" i="1"/>
  <c r="AD287" i="1"/>
  <c r="AE287" i="1"/>
  <c r="AD288" i="1"/>
  <c r="AE288" i="1"/>
  <c r="AD289" i="1"/>
  <c r="AE289" i="1"/>
  <c r="AD290" i="1"/>
  <c r="AE290" i="1"/>
  <c r="AD291" i="1"/>
  <c r="AE291" i="1"/>
  <c r="AD292" i="1"/>
  <c r="AE292" i="1"/>
  <c r="AD293" i="1"/>
  <c r="AE293" i="1"/>
  <c r="AD294" i="1"/>
  <c r="AE294" i="1"/>
  <c r="AD295" i="1"/>
  <c r="AE295" i="1"/>
  <c r="AD296" i="1"/>
  <c r="AE296" i="1"/>
  <c r="AD297" i="1"/>
  <c r="AE297" i="1"/>
  <c r="AD298" i="1"/>
  <c r="AE298" i="1"/>
  <c r="AD299" i="1"/>
  <c r="AE299" i="1"/>
  <c r="AD300" i="1"/>
  <c r="AE300" i="1"/>
  <c r="AD301" i="1"/>
  <c r="AE301" i="1"/>
  <c r="AD302" i="1"/>
  <c r="AE302" i="1"/>
  <c r="AD303" i="1"/>
  <c r="AE303" i="1"/>
  <c r="AD304" i="1"/>
  <c r="AE304" i="1"/>
  <c r="AD305" i="1"/>
  <c r="AE305" i="1"/>
  <c r="AD306" i="1"/>
  <c r="AE306" i="1"/>
  <c r="AD307" i="1"/>
  <c r="AE307" i="1"/>
  <c r="AD308" i="1"/>
  <c r="AE308" i="1"/>
  <c r="AD309" i="1"/>
  <c r="AE309" i="1"/>
  <c r="AD310" i="1"/>
  <c r="AE310" i="1"/>
  <c r="AD311" i="1"/>
  <c r="AE311" i="1"/>
  <c r="AD312" i="1"/>
  <c r="AE312" i="1"/>
  <c r="AD313" i="1"/>
  <c r="AE313" i="1"/>
  <c r="AD314" i="1"/>
  <c r="AE314" i="1"/>
  <c r="AD315" i="1"/>
  <c r="AE315" i="1"/>
  <c r="AD316" i="1"/>
  <c r="AE316" i="1"/>
  <c r="AD317" i="1"/>
  <c r="AE317" i="1"/>
  <c r="AD318" i="1"/>
  <c r="AE318" i="1"/>
  <c r="AD319" i="1"/>
  <c r="AE319" i="1"/>
  <c r="AD320" i="1"/>
  <c r="AE320" i="1"/>
  <c r="AD321" i="1"/>
  <c r="AE321" i="1"/>
  <c r="AD322" i="1"/>
  <c r="AE322" i="1"/>
  <c r="AD323" i="1"/>
  <c r="AE323" i="1"/>
  <c r="AD324" i="1"/>
  <c r="AE324" i="1"/>
  <c r="AD325" i="1"/>
  <c r="AE325" i="1"/>
  <c r="AD326" i="1"/>
  <c r="AE326" i="1"/>
  <c r="AD327" i="1"/>
  <c r="AE327" i="1"/>
  <c r="AD328" i="1"/>
  <c r="AE328" i="1"/>
  <c r="AD329" i="1"/>
  <c r="AE329" i="1"/>
  <c r="AD330" i="1"/>
  <c r="AE330" i="1"/>
  <c r="AD331" i="1"/>
  <c r="AE331" i="1"/>
  <c r="AD332" i="1"/>
  <c r="AE332" i="1"/>
  <c r="AD333" i="1"/>
  <c r="AE333" i="1"/>
  <c r="AD334" i="1"/>
  <c r="AE334" i="1"/>
  <c r="AD335" i="1"/>
  <c r="AE335" i="1"/>
  <c r="AD336" i="1"/>
  <c r="AE336" i="1"/>
  <c r="AD337" i="1"/>
  <c r="AE337" i="1"/>
  <c r="AD338" i="1"/>
  <c r="AE338" i="1"/>
  <c r="AD339" i="1"/>
  <c r="AE339" i="1"/>
  <c r="AD340" i="1"/>
  <c r="AE340" i="1"/>
  <c r="AD341" i="1"/>
  <c r="AE341" i="1"/>
  <c r="AD342" i="1"/>
  <c r="AE342" i="1"/>
  <c r="AD343" i="1"/>
  <c r="AE343" i="1"/>
  <c r="AD344" i="1"/>
  <c r="AE344" i="1"/>
  <c r="AD345" i="1"/>
  <c r="AE345" i="1"/>
  <c r="AD346" i="1"/>
  <c r="AE346" i="1"/>
  <c r="AD347" i="1"/>
  <c r="AE347" i="1"/>
  <c r="AD348" i="1"/>
  <c r="AE348" i="1"/>
  <c r="AD349" i="1"/>
  <c r="AE349" i="1"/>
  <c r="AD350" i="1"/>
  <c r="AE350" i="1"/>
  <c r="AD351" i="1"/>
  <c r="AE351" i="1"/>
  <c r="AD352" i="1"/>
  <c r="AE352" i="1"/>
  <c r="AD353" i="1"/>
  <c r="AE353" i="1"/>
  <c r="AD354" i="1"/>
  <c r="AE354" i="1"/>
  <c r="AD355" i="1"/>
  <c r="AE355" i="1"/>
  <c r="AD356" i="1"/>
  <c r="AE356" i="1"/>
  <c r="AD357" i="1"/>
  <c r="AE357" i="1"/>
  <c r="AD358" i="1"/>
  <c r="AE358" i="1"/>
  <c r="AD359" i="1"/>
  <c r="AE359" i="1"/>
  <c r="AD360" i="1"/>
  <c r="AE360" i="1"/>
  <c r="AD361" i="1"/>
  <c r="AE361" i="1"/>
  <c r="AD362" i="1"/>
  <c r="AE362" i="1"/>
  <c r="AD363" i="1"/>
  <c r="AE363" i="1"/>
  <c r="AD364" i="1"/>
  <c r="AE364" i="1"/>
  <c r="AD365" i="1"/>
  <c r="AE365" i="1"/>
  <c r="AD366" i="1"/>
  <c r="AE366" i="1"/>
  <c r="AD367" i="1"/>
  <c r="AE367" i="1"/>
  <c r="AD368" i="1"/>
  <c r="AE368" i="1"/>
  <c r="AD369" i="1"/>
  <c r="AE369" i="1"/>
  <c r="AD370" i="1"/>
  <c r="AE370" i="1"/>
  <c r="AD371" i="1"/>
  <c r="AE371" i="1"/>
  <c r="AD372" i="1"/>
  <c r="AE372" i="1"/>
  <c r="AD373" i="1"/>
  <c r="AE373" i="1"/>
  <c r="AD374" i="1"/>
  <c r="AE374" i="1"/>
  <c r="AD375" i="1"/>
  <c r="AE375" i="1"/>
  <c r="AD376" i="1"/>
  <c r="AE376" i="1"/>
  <c r="AD377" i="1"/>
  <c r="AE377" i="1"/>
  <c r="AD378" i="1"/>
  <c r="AE378" i="1"/>
  <c r="AD379" i="1"/>
  <c r="AE379" i="1"/>
  <c r="AD380" i="1"/>
  <c r="AE380" i="1"/>
  <c r="AD381" i="1"/>
  <c r="AE381" i="1"/>
  <c r="AD382" i="1"/>
  <c r="AE382" i="1"/>
  <c r="AD383" i="1"/>
  <c r="AE383" i="1"/>
  <c r="AD384" i="1"/>
  <c r="AE384" i="1"/>
  <c r="AD385" i="1"/>
  <c r="AE385" i="1"/>
  <c r="AD386" i="1"/>
  <c r="AE386" i="1"/>
  <c r="AD387" i="1"/>
  <c r="AE387" i="1"/>
  <c r="AD388" i="1"/>
  <c r="AE388" i="1"/>
  <c r="AD389" i="1"/>
  <c r="AE389" i="1"/>
  <c r="AD390" i="1"/>
  <c r="AE390" i="1"/>
  <c r="AD391" i="1"/>
  <c r="AE391" i="1"/>
  <c r="AD392" i="1"/>
  <c r="AE392" i="1"/>
  <c r="AD393" i="1"/>
  <c r="AE393" i="1"/>
  <c r="AD394" i="1"/>
  <c r="AE394" i="1"/>
  <c r="AD395" i="1"/>
  <c r="AE395" i="1"/>
  <c r="AD396" i="1"/>
  <c r="AE396" i="1"/>
  <c r="AD397" i="1"/>
  <c r="AE397" i="1"/>
  <c r="AD398" i="1"/>
  <c r="AE398" i="1"/>
  <c r="AD399" i="1"/>
  <c r="AE399" i="1"/>
  <c r="AD400" i="1"/>
  <c r="AE400" i="1"/>
  <c r="AD401" i="1"/>
  <c r="AE401" i="1"/>
  <c r="AD402" i="1"/>
  <c r="AE402" i="1"/>
  <c r="AD403" i="1"/>
  <c r="AE403" i="1"/>
  <c r="AD404" i="1"/>
  <c r="AE404" i="1"/>
  <c r="AD405" i="1"/>
  <c r="AE405" i="1"/>
  <c r="AD406" i="1"/>
  <c r="AE406" i="1"/>
  <c r="AD407" i="1"/>
  <c r="AE407" i="1"/>
  <c r="AD408" i="1"/>
  <c r="AE408" i="1"/>
  <c r="AD409" i="1"/>
  <c r="AE409" i="1"/>
  <c r="AD410" i="1"/>
  <c r="AE410" i="1"/>
  <c r="AD411" i="1"/>
  <c r="AE411" i="1"/>
  <c r="AD412" i="1"/>
  <c r="AE412" i="1"/>
  <c r="AD413" i="1"/>
  <c r="AE413" i="1"/>
  <c r="AD414" i="1"/>
  <c r="AE414" i="1"/>
  <c r="AD415" i="1"/>
  <c r="AE415" i="1"/>
  <c r="AD416" i="1"/>
  <c r="AE416" i="1"/>
  <c r="AD417" i="1"/>
  <c r="AE417" i="1"/>
  <c r="AD418" i="1"/>
  <c r="AE418" i="1"/>
  <c r="AD419" i="1"/>
  <c r="AE419" i="1"/>
  <c r="AD420" i="1"/>
  <c r="AE420" i="1"/>
  <c r="AD421" i="1"/>
  <c r="AE421" i="1"/>
  <c r="AD422" i="1"/>
  <c r="AE422" i="1"/>
  <c r="AD423" i="1"/>
  <c r="AE423" i="1"/>
  <c r="AD424" i="1"/>
  <c r="AE424" i="1"/>
  <c r="AD425" i="1"/>
  <c r="AE425" i="1"/>
  <c r="AD426" i="1"/>
  <c r="AE426" i="1"/>
  <c r="AD427" i="1"/>
  <c r="AE427" i="1"/>
  <c r="AD428" i="1"/>
  <c r="AE428" i="1"/>
  <c r="AD429" i="1"/>
  <c r="AE429" i="1"/>
  <c r="AD430" i="1"/>
  <c r="AE430" i="1"/>
  <c r="AD431" i="1"/>
  <c r="AE431" i="1"/>
  <c r="AD432" i="1"/>
  <c r="AE432" i="1"/>
  <c r="AD433" i="1"/>
  <c r="AE433" i="1"/>
  <c r="AD434" i="1"/>
  <c r="AE434" i="1"/>
  <c r="AD435" i="1"/>
  <c r="AE435" i="1"/>
  <c r="AE3" i="1"/>
  <c r="AD3" i="1"/>
  <c r="N4" i="3"/>
  <c r="N5" i="3"/>
  <c r="N6" i="3"/>
  <c r="N3" i="3"/>
  <c r="G434" i="1"/>
  <c r="H434" i="1"/>
  <c r="I434" i="1"/>
  <c r="J434" i="1"/>
  <c r="K434" i="1"/>
  <c r="L434" i="1"/>
  <c r="M434" i="1"/>
  <c r="N434" i="1"/>
  <c r="O434" i="1"/>
  <c r="D434" i="1"/>
  <c r="E434" i="1"/>
  <c r="F434" i="1"/>
  <c r="C434" i="1"/>
  <c r="V209" i="1" l="1"/>
  <c r="AK209" i="1" s="1"/>
  <c r="U212" i="1"/>
  <c r="AJ212" i="1" s="1"/>
  <c r="W213" i="1"/>
  <c r="AL213" i="1" s="1"/>
  <c r="X214" i="1"/>
  <c r="AM214" i="1" s="1"/>
  <c r="U216" i="1"/>
  <c r="AJ216" i="1" s="1"/>
  <c r="V217" i="1"/>
  <c r="AK217" i="1" s="1"/>
  <c r="V218" i="1"/>
  <c r="AK218" i="1" s="1"/>
  <c r="Y218" i="1"/>
  <c r="AN218" i="1" s="1"/>
  <c r="Y219" i="1"/>
  <c r="AN219" i="1" s="1"/>
  <c r="W220" i="1"/>
  <c r="AL220" i="1" s="1"/>
  <c r="U221" i="1"/>
  <c r="AJ221" i="1" s="1"/>
  <c r="V222" i="1"/>
  <c r="AK222" i="1" s="1"/>
  <c r="V226" i="1"/>
  <c r="AK226" i="1" s="1"/>
  <c r="X226" i="1"/>
  <c r="AM226" i="1" s="1"/>
  <c r="W231" i="1"/>
  <c r="AL231" i="1" s="1"/>
  <c r="V232" i="1"/>
  <c r="AK232" i="1" s="1"/>
  <c r="U234" i="1"/>
  <c r="AJ234" i="1" s="1"/>
  <c r="X234" i="1"/>
  <c r="AM234" i="1" s="1"/>
  <c r="Y235" i="1"/>
  <c r="AN235" i="1" s="1"/>
  <c r="V236" i="1"/>
  <c r="AK236" i="1" s="1"/>
  <c r="Y236" i="1"/>
  <c r="AN236" i="1" s="1"/>
  <c r="V237" i="1"/>
  <c r="AK237" i="1" s="1"/>
  <c r="X237" i="1"/>
  <c r="AM237" i="1" s="1"/>
  <c r="S238" i="1"/>
  <c r="AH238" i="1" s="1"/>
  <c r="X238" i="1"/>
  <c r="AM238" i="1" s="1"/>
  <c r="T239" i="1"/>
  <c r="AI239" i="1" s="1"/>
  <c r="Y239" i="1"/>
  <c r="AN239" i="1" s="1"/>
  <c r="W240" i="1"/>
  <c r="AL240" i="1" s="1"/>
  <c r="U241" i="1"/>
  <c r="AJ241" i="1" s="1"/>
  <c r="Y241" i="1"/>
  <c r="AN241" i="1" s="1"/>
  <c r="W242" i="1"/>
  <c r="AL242" i="1" s="1"/>
  <c r="T243" i="1"/>
  <c r="AI243" i="1" s="1"/>
  <c r="S244" i="1"/>
  <c r="AH244" i="1" s="1"/>
  <c r="U244" i="1"/>
  <c r="AJ244" i="1" s="1"/>
  <c r="X244" i="1"/>
  <c r="AM244" i="1" s="1"/>
  <c r="S245" i="1"/>
  <c r="AH245" i="1" s="1"/>
  <c r="W245" i="1"/>
  <c r="AL245" i="1" s="1"/>
  <c r="W246" i="1"/>
  <c r="AL246" i="1" s="1"/>
  <c r="S247" i="1"/>
  <c r="AH247" i="1" s="1"/>
  <c r="V247" i="1"/>
  <c r="AK247" i="1" s="1"/>
  <c r="X247" i="1"/>
  <c r="AM247" i="1" s="1"/>
  <c r="S248" i="1"/>
  <c r="AH248" i="1" s="1"/>
  <c r="V248" i="1"/>
  <c r="AK248" i="1" s="1"/>
  <c r="Y248" i="1"/>
  <c r="AN248" i="1" s="1"/>
  <c r="U249" i="1"/>
  <c r="AJ249" i="1" s="1"/>
  <c r="V250" i="1"/>
  <c r="AK250" i="1" s="1"/>
  <c r="X250" i="1"/>
  <c r="AM250" i="1" s="1"/>
  <c r="S251" i="1"/>
  <c r="AH251" i="1" s="1"/>
  <c r="V251" i="1"/>
  <c r="AK251" i="1" s="1"/>
  <c r="S252" i="1"/>
  <c r="AH252" i="1" s="1"/>
  <c r="W252" i="1"/>
  <c r="AL252" i="1" s="1"/>
  <c r="Y252" i="1"/>
  <c r="AN252" i="1" s="1"/>
  <c r="T253" i="1"/>
  <c r="AI253" i="1" s="1"/>
  <c r="W253" i="1"/>
  <c r="AL253" i="1" s="1"/>
  <c r="T254" i="1"/>
  <c r="AI254" i="1" s="1"/>
  <c r="W254" i="1"/>
  <c r="AL254" i="1" s="1"/>
  <c r="U255" i="1"/>
  <c r="AJ255" i="1" s="1"/>
  <c r="V208" i="1"/>
  <c r="AK208" i="1" s="1"/>
  <c r="V212" i="1"/>
  <c r="AK212" i="1" s="1"/>
  <c r="W214" i="1"/>
  <c r="AL214" i="1" s="1"/>
  <c r="U215" i="1"/>
  <c r="AJ215" i="1" s="1"/>
  <c r="U217" i="1"/>
  <c r="AJ217" i="1" s="1"/>
  <c r="X217" i="1"/>
  <c r="AM217" i="1" s="1"/>
  <c r="W218" i="1"/>
  <c r="AL218" i="1" s="1"/>
  <c r="Y220" i="1"/>
  <c r="AN220" i="1" s="1"/>
  <c r="W221" i="1"/>
  <c r="AL221" i="1" s="1"/>
  <c r="U223" i="1"/>
  <c r="AJ223" i="1" s="1"/>
  <c r="V224" i="1"/>
  <c r="AK224" i="1" s="1"/>
  <c r="V225" i="1"/>
  <c r="AK225" i="1" s="1"/>
  <c r="W227" i="1"/>
  <c r="AL227" i="1" s="1"/>
  <c r="V228" i="1"/>
  <c r="AK228" i="1" s="1"/>
  <c r="X228" i="1"/>
  <c r="AM228" i="1" s="1"/>
  <c r="X229" i="1"/>
  <c r="AM229" i="1" s="1"/>
  <c r="U230" i="1"/>
  <c r="AJ230" i="1" s="1"/>
  <c r="U231" i="1"/>
  <c r="AJ231" i="1" s="1"/>
  <c r="U232" i="1"/>
  <c r="AJ232" i="1" s="1"/>
  <c r="W233" i="1"/>
  <c r="AL233" i="1" s="1"/>
  <c r="V234" i="1"/>
  <c r="AK234" i="1" s="1"/>
  <c r="Y234" i="1"/>
  <c r="AN234" i="1" s="1"/>
  <c r="V235" i="1"/>
  <c r="AK235" i="1" s="1"/>
  <c r="X235" i="1"/>
  <c r="AM235" i="1" s="1"/>
  <c r="T237" i="1"/>
  <c r="AI237" i="1" s="1"/>
  <c r="U237" i="1"/>
  <c r="AJ237" i="1" s="1"/>
  <c r="U238" i="1"/>
  <c r="AJ238" i="1" s="1"/>
  <c r="Y238" i="1"/>
  <c r="AN238" i="1" s="1"/>
  <c r="V239" i="1"/>
  <c r="AK239" i="1" s="1"/>
  <c r="S241" i="1"/>
  <c r="AH241" i="1" s="1"/>
  <c r="W241" i="1"/>
  <c r="AL241" i="1" s="1"/>
  <c r="X242" i="1"/>
  <c r="AM242" i="1" s="1"/>
  <c r="T245" i="1"/>
  <c r="AI245" i="1" s="1"/>
  <c r="X245" i="1"/>
  <c r="AM245" i="1" s="1"/>
  <c r="U246" i="1"/>
  <c r="AJ246" i="1" s="1"/>
  <c r="X246" i="1"/>
  <c r="AM246" i="1" s="1"/>
  <c r="U247" i="1"/>
  <c r="AJ247" i="1" s="1"/>
  <c r="Y247" i="1"/>
  <c r="AN247" i="1" s="1"/>
  <c r="U248" i="1"/>
  <c r="AJ248" i="1" s="1"/>
  <c r="V249" i="1"/>
  <c r="AK249" i="1" s="1"/>
  <c r="S250" i="1"/>
  <c r="AH250" i="1" s="1"/>
  <c r="W250" i="1"/>
  <c r="AL250" i="1" s="1"/>
  <c r="T251" i="1"/>
  <c r="AI251" i="1" s="1"/>
  <c r="T252" i="1"/>
  <c r="AI252" i="1" s="1"/>
  <c r="X252" i="1"/>
  <c r="AM252" i="1" s="1"/>
  <c r="V255" i="1"/>
  <c r="AK255" i="1" s="1"/>
  <c r="U210" i="1"/>
  <c r="AJ210" i="1" s="1"/>
  <c r="V214" i="1"/>
  <c r="AK214" i="1" s="1"/>
  <c r="X215" i="1"/>
  <c r="AM215" i="1" s="1"/>
  <c r="W216" i="1"/>
  <c r="AL216" i="1" s="1"/>
  <c r="U218" i="1"/>
  <c r="AJ218" i="1" s="1"/>
  <c r="U219" i="1"/>
  <c r="AJ219" i="1" s="1"/>
  <c r="X219" i="1"/>
  <c r="AM219" i="1" s="1"/>
  <c r="V220" i="1"/>
  <c r="AK220" i="1" s="1"/>
  <c r="V221" i="1"/>
  <c r="AK221" i="1" s="1"/>
  <c r="Y221" i="1"/>
  <c r="AN221" i="1" s="1"/>
  <c r="Y222" i="1"/>
  <c r="AN222" i="1" s="1"/>
  <c r="W223" i="1"/>
  <c r="AL223" i="1" s="1"/>
  <c r="Y223" i="1"/>
  <c r="AN223" i="1" s="1"/>
  <c r="Y224" i="1"/>
  <c r="AN224" i="1" s="1"/>
  <c r="X225" i="1"/>
  <c r="AM225" i="1" s="1"/>
  <c r="U226" i="1"/>
  <c r="AJ226" i="1" s="1"/>
  <c r="U227" i="1"/>
  <c r="AJ227" i="1" s="1"/>
  <c r="U228" i="1"/>
  <c r="AJ228" i="1" s="1"/>
  <c r="V229" i="1"/>
  <c r="AK229" i="1" s="1"/>
  <c r="V230" i="1"/>
  <c r="AK230" i="1" s="1"/>
  <c r="X230" i="1"/>
  <c r="AM230" i="1" s="1"/>
  <c r="X231" i="1"/>
  <c r="AM231" i="1" s="1"/>
  <c r="W232" i="1"/>
  <c r="AL232" i="1" s="1"/>
  <c r="V233" i="1"/>
  <c r="AK233" i="1" s="1"/>
  <c r="S234" i="1"/>
  <c r="AH234" i="1" s="1"/>
  <c r="U235" i="1"/>
  <c r="AJ235" i="1" s="1"/>
  <c r="S236" i="1"/>
  <c r="AH236" i="1" s="1"/>
  <c r="S237" i="1"/>
  <c r="AH237" i="1" s="1"/>
  <c r="V238" i="1"/>
  <c r="AK238" i="1" s="1"/>
  <c r="W239" i="1"/>
  <c r="AL239" i="1" s="1"/>
  <c r="T240" i="1"/>
  <c r="AI240" i="1" s="1"/>
  <c r="V240" i="1"/>
  <c r="AK240" i="1" s="1"/>
  <c r="X240" i="1"/>
  <c r="AM240" i="1" s="1"/>
  <c r="S242" i="1"/>
  <c r="AH242" i="1" s="1"/>
  <c r="V242" i="1"/>
  <c r="AK242" i="1" s="1"/>
  <c r="Y242" i="1"/>
  <c r="AN242" i="1" s="1"/>
  <c r="W243" i="1"/>
  <c r="AL243" i="1" s="1"/>
  <c r="Y243" i="1"/>
  <c r="AN243" i="1" s="1"/>
  <c r="W244" i="1"/>
  <c r="AL244" i="1" s="1"/>
  <c r="V245" i="1"/>
  <c r="AK245" i="1" s="1"/>
  <c r="Y245" i="1"/>
  <c r="AN245" i="1" s="1"/>
  <c r="T246" i="1"/>
  <c r="AI246" i="1" s="1"/>
  <c r="V246" i="1"/>
  <c r="AK246" i="1" s="1"/>
  <c r="X248" i="1"/>
  <c r="AM248" i="1" s="1"/>
  <c r="T249" i="1"/>
  <c r="AI249" i="1" s="1"/>
  <c r="X249" i="1"/>
  <c r="AM249" i="1" s="1"/>
  <c r="T250" i="1"/>
  <c r="AI250" i="1" s="1"/>
  <c r="W251" i="1"/>
  <c r="AL251" i="1" s="1"/>
  <c r="S253" i="1"/>
  <c r="AH253" i="1" s="1"/>
  <c r="V253" i="1"/>
  <c r="AK253" i="1" s="1"/>
  <c r="Y253" i="1"/>
  <c r="AN253" i="1" s="1"/>
  <c r="Y254" i="1"/>
  <c r="AN254" i="1" s="1"/>
  <c r="V210" i="1"/>
  <c r="AK210" i="1" s="1"/>
  <c r="V213" i="1"/>
  <c r="AK213" i="1" s="1"/>
  <c r="X216" i="1"/>
  <c r="AM216" i="1" s="1"/>
  <c r="W217" i="1"/>
  <c r="AL217" i="1" s="1"/>
  <c r="V219" i="1"/>
  <c r="AK219" i="1" s="1"/>
  <c r="U220" i="1"/>
  <c r="AJ220" i="1" s="1"/>
  <c r="X220" i="1"/>
  <c r="AM220" i="1" s="1"/>
  <c r="W222" i="1"/>
  <c r="AL222" i="1" s="1"/>
  <c r="X223" i="1"/>
  <c r="AM223" i="1" s="1"/>
  <c r="U224" i="1"/>
  <c r="AJ224" i="1" s="1"/>
  <c r="W224" i="1"/>
  <c r="AL224" i="1" s="1"/>
  <c r="Y225" i="1"/>
  <c r="AN225" i="1" s="1"/>
  <c r="Y226" i="1"/>
  <c r="AN226" i="1" s="1"/>
  <c r="X227" i="1"/>
  <c r="AM227" i="1" s="1"/>
  <c r="U229" i="1"/>
  <c r="AJ229" i="1" s="1"/>
  <c r="W230" i="1"/>
  <c r="AL230" i="1" s="1"/>
  <c r="V231" i="1"/>
  <c r="AK231" i="1" s="1"/>
  <c r="X232" i="1"/>
  <c r="AM232" i="1" s="1"/>
  <c r="Y233" i="1"/>
  <c r="AN233" i="1" s="1"/>
  <c r="S235" i="1"/>
  <c r="AH235" i="1" s="1"/>
  <c r="T236" i="1"/>
  <c r="AI236" i="1" s="1"/>
  <c r="W236" i="1"/>
  <c r="AL236" i="1" s="1"/>
  <c r="X236" i="1"/>
  <c r="AM236" i="1" s="1"/>
  <c r="Y237" i="1"/>
  <c r="AN237" i="1" s="1"/>
  <c r="S240" i="1"/>
  <c r="AH240" i="1" s="1"/>
  <c r="T242" i="1"/>
  <c r="AI242" i="1" s="1"/>
  <c r="S243" i="1"/>
  <c r="AH243" i="1" s="1"/>
  <c r="V243" i="1"/>
  <c r="AK243" i="1" s="1"/>
  <c r="X243" i="1"/>
  <c r="AM243" i="1" s="1"/>
  <c r="T244" i="1"/>
  <c r="AI244" i="1" s="1"/>
  <c r="V244" i="1"/>
  <c r="AK244" i="1" s="1"/>
  <c r="U245" i="1"/>
  <c r="AJ245" i="1" s="1"/>
  <c r="S246" i="1"/>
  <c r="AH246" i="1" s="1"/>
  <c r="T247" i="1"/>
  <c r="AI247" i="1" s="1"/>
  <c r="W249" i="1"/>
  <c r="AL249" i="1" s="1"/>
  <c r="U250" i="1"/>
  <c r="AJ250" i="1" s="1"/>
  <c r="U252" i="1"/>
  <c r="AJ252" i="1" s="1"/>
  <c r="U253" i="1"/>
  <c r="AJ253" i="1" s="1"/>
  <c r="X253" i="1"/>
  <c r="AM253" i="1" s="1"/>
  <c r="V254" i="1"/>
  <c r="AK254" i="1" s="1"/>
  <c r="U208" i="1"/>
  <c r="AJ208" i="1" s="1"/>
  <c r="U211" i="1"/>
  <c r="AJ211" i="1" s="1"/>
  <c r="U213" i="1"/>
  <c r="AJ213" i="1" s="1"/>
  <c r="V215" i="1"/>
  <c r="AK215" i="1" s="1"/>
  <c r="V216" i="1"/>
  <c r="AK216" i="1" s="1"/>
  <c r="W219" i="1"/>
  <c r="AL219" i="1" s="1"/>
  <c r="U222" i="1"/>
  <c r="AJ222" i="1" s="1"/>
  <c r="U225" i="1"/>
  <c r="AJ225" i="1" s="1"/>
  <c r="W226" i="1"/>
  <c r="AL226" i="1" s="1"/>
  <c r="U233" i="1"/>
  <c r="AJ233" i="1" s="1"/>
  <c r="T235" i="1"/>
  <c r="AI235" i="1" s="1"/>
  <c r="U236" i="1"/>
  <c r="AJ236" i="1" s="1"/>
  <c r="W238" i="1"/>
  <c r="AL238" i="1" s="1"/>
  <c r="U240" i="1"/>
  <c r="AJ240" i="1" s="1"/>
  <c r="V241" i="1"/>
  <c r="AK241" i="1" s="1"/>
  <c r="Y244" i="1"/>
  <c r="AN244" i="1" s="1"/>
  <c r="S249" i="1"/>
  <c r="AH249" i="1" s="1"/>
  <c r="Y250" i="1"/>
  <c r="AN250" i="1" s="1"/>
  <c r="X251" i="1"/>
  <c r="AM251" i="1" s="1"/>
  <c r="U254" i="1"/>
  <c r="AJ254" i="1" s="1"/>
  <c r="S255" i="1"/>
  <c r="AH255" i="1" s="1"/>
  <c r="W255" i="1"/>
  <c r="AL255" i="1" s="1"/>
  <c r="U209" i="1"/>
  <c r="AJ209" i="1" s="1"/>
  <c r="V211" i="1"/>
  <c r="AK211" i="1" s="1"/>
  <c r="U214" i="1"/>
  <c r="AJ214" i="1" s="1"/>
  <c r="W215" i="1"/>
  <c r="AL215" i="1" s="1"/>
  <c r="Y217" i="1"/>
  <c r="AN217" i="1" s="1"/>
  <c r="X218" i="1"/>
  <c r="AM218" i="1" s="1"/>
  <c r="X221" i="1"/>
  <c r="AM221" i="1" s="1"/>
  <c r="X222" i="1"/>
  <c r="AM222" i="1" s="1"/>
  <c r="V223" i="1"/>
  <c r="AK223" i="1" s="1"/>
  <c r="X224" i="1"/>
  <c r="AM224" i="1" s="1"/>
  <c r="W225" i="1"/>
  <c r="AL225" i="1" s="1"/>
  <c r="V227" i="1"/>
  <c r="AK227" i="1" s="1"/>
  <c r="Y227" i="1"/>
  <c r="AN227" i="1" s="1"/>
  <c r="W228" i="1"/>
  <c r="AL228" i="1" s="1"/>
  <c r="Y228" i="1"/>
  <c r="AN228" i="1" s="1"/>
  <c r="W229" i="1"/>
  <c r="AL229" i="1" s="1"/>
  <c r="Y229" i="1"/>
  <c r="AN229" i="1" s="1"/>
  <c r="Y230" i="1"/>
  <c r="AN230" i="1" s="1"/>
  <c r="Y231" i="1"/>
  <c r="AN231" i="1" s="1"/>
  <c r="Y232" i="1"/>
  <c r="AN232" i="1" s="1"/>
  <c r="X233" i="1"/>
  <c r="AM233" i="1" s="1"/>
  <c r="T234" i="1"/>
  <c r="AI234" i="1" s="1"/>
  <c r="W234" i="1"/>
  <c r="AL234" i="1" s="1"/>
  <c r="W235" i="1"/>
  <c r="AL235" i="1" s="1"/>
  <c r="W237" i="1"/>
  <c r="AL237" i="1" s="1"/>
  <c r="T238" i="1"/>
  <c r="AI238" i="1" s="1"/>
  <c r="S239" i="1"/>
  <c r="AH239" i="1" s="1"/>
  <c r="U239" i="1"/>
  <c r="AJ239" i="1" s="1"/>
  <c r="X239" i="1"/>
  <c r="AM239" i="1" s="1"/>
  <c r="Y240" i="1"/>
  <c r="AN240" i="1" s="1"/>
  <c r="T241" i="1"/>
  <c r="AI241" i="1" s="1"/>
  <c r="X241" i="1"/>
  <c r="AM241" i="1" s="1"/>
  <c r="U242" i="1"/>
  <c r="AJ242" i="1" s="1"/>
  <c r="U243" i="1"/>
  <c r="AJ243" i="1" s="1"/>
  <c r="Y246" i="1"/>
  <c r="AN246" i="1" s="1"/>
  <c r="W247" i="1"/>
  <c r="AL247" i="1" s="1"/>
  <c r="T248" i="1"/>
  <c r="AI248" i="1" s="1"/>
  <c r="W248" i="1"/>
  <c r="AL248" i="1" s="1"/>
  <c r="Y249" i="1"/>
  <c r="AN249" i="1" s="1"/>
  <c r="U251" i="1"/>
  <c r="AJ251" i="1" s="1"/>
  <c r="Y251" i="1"/>
  <c r="AN251" i="1" s="1"/>
  <c r="V252" i="1"/>
  <c r="AK252" i="1" s="1"/>
  <c r="S254" i="1"/>
  <c r="AH254" i="1" s="1"/>
  <c r="X254" i="1"/>
  <c r="AM254" i="1" s="1"/>
  <c r="T255" i="1"/>
  <c r="AI255" i="1" s="1"/>
  <c r="X255" i="1"/>
  <c r="AM255" i="1" s="1"/>
  <c r="Y255" i="1"/>
  <c r="AN255" i="1" s="1"/>
  <c r="S256" i="1"/>
  <c r="AH256" i="1" s="1"/>
  <c r="T256" i="1"/>
  <c r="AI256" i="1" s="1"/>
  <c r="U256" i="1"/>
  <c r="AJ256" i="1" s="1"/>
  <c r="V256" i="1"/>
  <c r="AK256" i="1" s="1"/>
  <c r="W256" i="1"/>
  <c r="AL256" i="1" s="1"/>
  <c r="X256" i="1"/>
  <c r="AM256" i="1" s="1"/>
  <c r="Y256" i="1"/>
  <c r="AN256" i="1" s="1"/>
  <c r="S257" i="1"/>
  <c r="AH257" i="1" s="1"/>
  <c r="T257" i="1"/>
  <c r="AI257" i="1" s="1"/>
  <c r="U257" i="1"/>
  <c r="AJ257" i="1" s="1"/>
  <c r="V257" i="1"/>
  <c r="AK257" i="1" s="1"/>
  <c r="W257" i="1"/>
  <c r="AL257" i="1" s="1"/>
  <c r="X257" i="1"/>
  <c r="AM257" i="1" s="1"/>
  <c r="Y257" i="1"/>
  <c r="AN257" i="1" s="1"/>
  <c r="S258" i="1"/>
  <c r="AH258" i="1" s="1"/>
  <c r="T258" i="1"/>
  <c r="AI258" i="1" s="1"/>
  <c r="U258" i="1"/>
  <c r="AJ258" i="1" s="1"/>
  <c r="V258" i="1"/>
  <c r="AK258" i="1" s="1"/>
  <c r="W258" i="1"/>
  <c r="AL258" i="1" s="1"/>
  <c r="X258" i="1"/>
  <c r="AM258" i="1" s="1"/>
  <c r="Y258" i="1"/>
  <c r="AN258" i="1" s="1"/>
  <c r="S259" i="1"/>
  <c r="AH259" i="1" s="1"/>
  <c r="T259" i="1"/>
  <c r="AI259" i="1" s="1"/>
  <c r="U259" i="1"/>
  <c r="AJ259" i="1" s="1"/>
  <c r="V259" i="1"/>
  <c r="AK259" i="1" s="1"/>
  <c r="W259" i="1"/>
  <c r="AL259" i="1" s="1"/>
  <c r="X259" i="1"/>
  <c r="AM259" i="1" s="1"/>
  <c r="Y259" i="1"/>
  <c r="AN259" i="1" s="1"/>
  <c r="S260" i="1"/>
  <c r="AH260" i="1" s="1"/>
  <c r="T260" i="1"/>
  <c r="AI260" i="1" s="1"/>
  <c r="U260" i="1"/>
  <c r="AJ260" i="1" s="1"/>
  <c r="V260" i="1"/>
  <c r="AK260" i="1" s="1"/>
  <c r="W260" i="1"/>
  <c r="AL260" i="1" s="1"/>
  <c r="X260" i="1"/>
  <c r="AM260" i="1" s="1"/>
  <c r="Y260" i="1"/>
  <c r="AN260" i="1" s="1"/>
  <c r="S261" i="1"/>
  <c r="AH261" i="1" s="1"/>
  <c r="T261" i="1"/>
  <c r="AI261" i="1" s="1"/>
  <c r="U261" i="1"/>
  <c r="AJ261" i="1" s="1"/>
  <c r="V261" i="1"/>
  <c r="AK261" i="1" s="1"/>
  <c r="W261" i="1"/>
  <c r="AL261" i="1" s="1"/>
  <c r="X261" i="1"/>
  <c r="AM261" i="1" s="1"/>
  <c r="Y261" i="1"/>
  <c r="AN261" i="1" s="1"/>
  <c r="S262" i="1"/>
  <c r="AH262" i="1" s="1"/>
  <c r="T262" i="1"/>
  <c r="AI262" i="1" s="1"/>
  <c r="U262" i="1"/>
  <c r="AJ262" i="1" s="1"/>
  <c r="V262" i="1"/>
  <c r="AK262" i="1" s="1"/>
  <c r="W262" i="1"/>
  <c r="AL262" i="1" s="1"/>
  <c r="X262" i="1"/>
  <c r="AM262" i="1" s="1"/>
  <c r="Y262" i="1"/>
  <c r="AN262" i="1" s="1"/>
  <c r="S263" i="1"/>
  <c r="AH263" i="1" s="1"/>
  <c r="T263" i="1"/>
  <c r="AI263" i="1" s="1"/>
  <c r="U263" i="1"/>
  <c r="AJ263" i="1" s="1"/>
  <c r="V263" i="1"/>
  <c r="AK263" i="1" s="1"/>
  <c r="W263" i="1"/>
  <c r="AL263" i="1" s="1"/>
  <c r="Y263" i="1"/>
  <c r="AN263" i="1" s="1"/>
  <c r="S264" i="1"/>
  <c r="AH264" i="1" s="1"/>
  <c r="T264" i="1"/>
  <c r="AI264" i="1" s="1"/>
  <c r="U264" i="1"/>
  <c r="AJ264" i="1" s="1"/>
  <c r="V264" i="1"/>
  <c r="AK264" i="1" s="1"/>
  <c r="W264" i="1"/>
  <c r="AL264" i="1" s="1"/>
  <c r="X264" i="1"/>
  <c r="AM264" i="1" s="1"/>
  <c r="Y264" i="1"/>
  <c r="AN264" i="1" s="1"/>
  <c r="S265" i="1"/>
  <c r="AH265" i="1" s="1"/>
  <c r="T265" i="1"/>
  <c r="AI265" i="1" s="1"/>
  <c r="U265" i="1"/>
  <c r="AJ265" i="1" s="1"/>
  <c r="V265" i="1"/>
  <c r="AK265" i="1" s="1"/>
  <c r="W265" i="1"/>
  <c r="AL265" i="1" s="1"/>
  <c r="X265" i="1"/>
  <c r="AM265" i="1" s="1"/>
  <c r="Y265" i="1"/>
  <c r="AN265" i="1" s="1"/>
  <c r="S266" i="1"/>
  <c r="AH266" i="1" s="1"/>
  <c r="T266" i="1"/>
  <c r="AI266" i="1" s="1"/>
  <c r="U266" i="1"/>
  <c r="AJ266" i="1" s="1"/>
  <c r="V266" i="1"/>
  <c r="AK266" i="1" s="1"/>
  <c r="W266" i="1"/>
  <c r="AL266" i="1" s="1"/>
  <c r="X266" i="1"/>
  <c r="AM266" i="1" s="1"/>
  <c r="Y266" i="1"/>
  <c r="AN266" i="1" s="1"/>
  <c r="S267" i="1"/>
  <c r="AH267" i="1" s="1"/>
  <c r="T267" i="1"/>
  <c r="AI267" i="1" s="1"/>
  <c r="U267" i="1"/>
  <c r="AJ267" i="1" s="1"/>
  <c r="V267" i="1"/>
  <c r="AK267" i="1" s="1"/>
  <c r="W267" i="1"/>
  <c r="AL267" i="1" s="1"/>
  <c r="X267" i="1"/>
  <c r="AM267" i="1" s="1"/>
  <c r="Y267" i="1"/>
  <c r="AN267" i="1" s="1"/>
  <c r="S268" i="1"/>
  <c r="AH268" i="1" s="1"/>
  <c r="T268" i="1"/>
  <c r="AI268" i="1" s="1"/>
  <c r="U268" i="1"/>
  <c r="AJ268" i="1" s="1"/>
  <c r="V268" i="1"/>
  <c r="AK268" i="1" s="1"/>
  <c r="W268" i="1"/>
  <c r="AL268" i="1" s="1"/>
  <c r="X268" i="1"/>
  <c r="AM268" i="1" s="1"/>
  <c r="Y268" i="1"/>
  <c r="AN268" i="1" s="1"/>
  <c r="S269" i="1"/>
  <c r="AH269" i="1" s="1"/>
  <c r="T269" i="1"/>
  <c r="AI269" i="1" s="1"/>
  <c r="U269" i="1"/>
  <c r="AJ269" i="1" s="1"/>
  <c r="V269" i="1"/>
  <c r="AK269" i="1" s="1"/>
  <c r="W269" i="1"/>
  <c r="AL269" i="1" s="1"/>
  <c r="X269" i="1"/>
  <c r="AM269" i="1" s="1"/>
  <c r="Y269" i="1"/>
  <c r="AN269" i="1" s="1"/>
  <c r="S270" i="1"/>
  <c r="AH270" i="1" s="1"/>
  <c r="T270" i="1"/>
  <c r="AI270" i="1" s="1"/>
  <c r="U270" i="1"/>
  <c r="AJ270" i="1" s="1"/>
  <c r="V270" i="1"/>
  <c r="AK270" i="1" s="1"/>
  <c r="W270" i="1"/>
  <c r="AL270" i="1" s="1"/>
  <c r="X270" i="1"/>
  <c r="AM270" i="1" s="1"/>
  <c r="Y270" i="1"/>
  <c r="AN270" i="1" s="1"/>
  <c r="S271" i="1"/>
  <c r="AH271" i="1" s="1"/>
  <c r="T271" i="1"/>
  <c r="AI271" i="1" s="1"/>
  <c r="U271" i="1"/>
  <c r="AJ271" i="1" s="1"/>
  <c r="V271" i="1"/>
  <c r="AK271" i="1" s="1"/>
  <c r="W271" i="1"/>
  <c r="AL271" i="1" s="1"/>
  <c r="X271" i="1"/>
  <c r="AM271" i="1" s="1"/>
  <c r="Y271" i="1"/>
  <c r="AN271" i="1" s="1"/>
  <c r="S272" i="1"/>
  <c r="AH272" i="1" s="1"/>
  <c r="T272" i="1"/>
  <c r="AI272" i="1" s="1"/>
  <c r="U272" i="1"/>
  <c r="AJ272" i="1" s="1"/>
  <c r="V272" i="1"/>
  <c r="AK272" i="1" s="1"/>
  <c r="W272" i="1"/>
  <c r="AL272" i="1" s="1"/>
  <c r="X272" i="1"/>
  <c r="AM272" i="1" s="1"/>
  <c r="Y272" i="1"/>
  <c r="AN272" i="1" s="1"/>
  <c r="S273" i="1"/>
  <c r="AH273" i="1" s="1"/>
  <c r="T273" i="1"/>
  <c r="AI273" i="1" s="1"/>
  <c r="U273" i="1"/>
  <c r="AJ273" i="1" s="1"/>
  <c r="V273" i="1"/>
  <c r="AK273" i="1" s="1"/>
  <c r="W273" i="1"/>
  <c r="AL273" i="1" s="1"/>
  <c r="X273" i="1"/>
  <c r="AM273" i="1" s="1"/>
  <c r="Y273" i="1"/>
  <c r="AN273" i="1" s="1"/>
  <c r="S274" i="1"/>
  <c r="AH274" i="1" s="1"/>
  <c r="T274" i="1"/>
  <c r="AI274" i="1" s="1"/>
  <c r="U274" i="1"/>
  <c r="AJ274" i="1" s="1"/>
  <c r="V274" i="1"/>
  <c r="AK274" i="1" s="1"/>
  <c r="W274" i="1"/>
  <c r="AL274" i="1" s="1"/>
  <c r="X274" i="1"/>
  <c r="AM274" i="1" s="1"/>
  <c r="Y274" i="1"/>
  <c r="AN274" i="1" s="1"/>
  <c r="S275" i="1"/>
  <c r="AH275" i="1" s="1"/>
  <c r="T275" i="1"/>
  <c r="AI275" i="1" s="1"/>
  <c r="U275" i="1"/>
  <c r="AJ275" i="1" s="1"/>
  <c r="V275" i="1"/>
  <c r="AK275" i="1" s="1"/>
  <c r="W275" i="1"/>
  <c r="AL275" i="1" s="1"/>
  <c r="X275" i="1"/>
  <c r="AM275" i="1" s="1"/>
  <c r="Y275" i="1"/>
  <c r="AN275" i="1" s="1"/>
  <c r="S276" i="1"/>
  <c r="AH276" i="1" s="1"/>
  <c r="T276" i="1"/>
  <c r="AI276" i="1" s="1"/>
  <c r="U276" i="1"/>
  <c r="AJ276" i="1" s="1"/>
  <c r="V276" i="1"/>
  <c r="AK276" i="1" s="1"/>
  <c r="W276" i="1"/>
  <c r="AL276" i="1" s="1"/>
  <c r="X276" i="1"/>
  <c r="AM276" i="1" s="1"/>
  <c r="Y276" i="1"/>
  <c r="AN276" i="1" s="1"/>
  <c r="S277" i="1"/>
  <c r="AH277" i="1" s="1"/>
  <c r="T277" i="1"/>
  <c r="AI277" i="1" s="1"/>
  <c r="U277" i="1"/>
  <c r="AJ277" i="1" s="1"/>
  <c r="V277" i="1"/>
  <c r="AK277" i="1" s="1"/>
  <c r="W277" i="1"/>
  <c r="AL277" i="1" s="1"/>
  <c r="X277" i="1"/>
  <c r="AM277" i="1" s="1"/>
  <c r="Y277" i="1"/>
  <c r="AN277" i="1" s="1"/>
  <c r="S278" i="1"/>
  <c r="AH278" i="1" s="1"/>
  <c r="T278" i="1"/>
  <c r="AI278" i="1" s="1"/>
  <c r="U278" i="1"/>
  <c r="AJ278" i="1" s="1"/>
  <c r="V278" i="1"/>
  <c r="AK278" i="1" s="1"/>
  <c r="W278" i="1"/>
  <c r="AL278" i="1" s="1"/>
  <c r="X278" i="1"/>
  <c r="AM278" i="1" s="1"/>
  <c r="Y278" i="1"/>
  <c r="AN278" i="1" s="1"/>
  <c r="S279" i="1"/>
  <c r="AH279" i="1" s="1"/>
  <c r="T279" i="1"/>
  <c r="AI279" i="1" s="1"/>
  <c r="U279" i="1"/>
  <c r="AJ279" i="1" s="1"/>
  <c r="V279" i="1"/>
  <c r="AK279" i="1" s="1"/>
  <c r="W279" i="1"/>
  <c r="AL279" i="1" s="1"/>
  <c r="X279" i="1"/>
  <c r="AM279" i="1" s="1"/>
  <c r="Y279" i="1"/>
  <c r="AN279" i="1" s="1"/>
  <c r="S280" i="1"/>
  <c r="AH280" i="1" s="1"/>
  <c r="T280" i="1"/>
  <c r="AI280" i="1" s="1"/>
  <c r="U280" i="1"/>
  <c r="AJ280" i="1" s="1"/>
  <c r="V280" i="1"/>
  <c r="AK280" i="1" s="1"/>
  <c r="W280" i="1"/>
  <c r="AL280" i="1" s="1"/>
  <c r="X280" i="1"/>
  <c r="AM280" i="1" s="1"/>
  <c r="Y280" i="1"/>
  <c r="AN280" i="1" s="1"/>
  <c r="S281" i="1"/>
  <c r="AH281" i="1" s="1"/>
  <c r="T281" i="1"/>
  <c r="AI281" i="1" s="1"/>
  <c r="U281" i="1"/>
  <c r="AJ281" i="1" s="1"/>
  <c r="V281" i="1"/>
  <c r="AK281" i="1" s="1"/>
  <c r="W281" i="1"/>
  <c r="AL281" i="1" s="1"/>
  <c r="X281" i="1"/>
  <c r="AM281" i="1" s="1"/>
  <c r="Y281" i="1"/>
  <c r="AN281" i="1" s="1"/>
  <c r="S282" i="1"/>
  <c r="AH282" i="1" s="1"/>
  <c r="T282" i="1"/>
  <c r="AI282" i="1" s="1"/>
  <c r="U282" i="1"/>
  <c r="AJ282" i="1" s="1"/>
  <c r="V282" i="1"/>
  <c r="AK282" i="1" s="1"/>
  <c r="W282" i="1"/>
  <c r="AL282" i="1" s="1"/>
  <c r="X282" i="1"/>
  <c r="AM282" i="1" s="1"/>
  <c r="Y282" i="1"/>
  <c r="AN282" i="1" s="1"/>
  <c r="S283" i="1"/>
  <c r="AH283" i="1" s="1"/>
  <c r="T283" i="1"/>
  <c r="AI283" i="1" s="1"/>
  <c r="U283" i="1"/>
  <c r="AJ283" i="1" s="1"/>
  <c r="V283" i="1"/>
  <c r="AK283" i="1" s="1"/>
  <c r="W283" i="1"/>
  <c r="AL283" i="1" s="1"/>
  <c r="X283" i="1"/>
  <c r="AM283" i="1" s="1"/>
  <c r="Y283" i="1"/>
  <c r="AN283" i="1" s="1"/>
  <c r="S284" i="1"/>
  <c r="AH284" i="1" s="1"/>
  <c r="T284" i="1"/>
  <c r="AI284" i="1" s="1"/>
  <c r="U284" i="1"/>
  <c r="AJ284" i="1" s="1"/>
  <c r="V284" i="1"/>
  <c r="AK284" i="1" s="1"/>
  <c r="W284" i="1"/>
  <c r="AL284" i="1" s="1"/>
  <c r="X284" i="1"/>
  <c r="AM284" i="1" s="1"/>
  <c r="Y284" i="1"/>
  <c r="AN284" i="1" s="1"/>
  <c r="S285" i="1"/>
  <c r="AH285" i="1" s="1"/>
  <c r="T285" i="1"/>
  <c r="AI285" i="1" s="1"/>
  <c r="U285" i="1"/>
  <c r="AJ285" i="1" s="1"/>
  <c r="V285" i="1"/>
  <c r="AK285" i="1" s="1"/>
  <c r="W285" i="1"/>
  <c r="AL285" i="1" s="1"/>
  <c r="X285" i="1"/>
  <c r="AM285" i="1" s="1"/>
  <c r="Y285" i="1"/>
  <c r="AN285" i="1" s="1"/>
  <c r="S286" i="1"/>
  <c r="AH286" i="1" s="1"/>
  <c r="T286" i="1"/>
  <c r="AI286" i="1" s="1"/>
  <c r="U286" i="1"/>
  <c r="AJ286" i="1" s="1"/>
  <c r="V286" i="1"/>
  <c r="AK286" i="1" s="1"/>
  <c r="W286" i="1"/>
  <c r="AL286" i="1" s="1"/>
  <c r="X286" i="1"/>
  <c r="AM286" i="1" s="1"/>
  <c r="Y286" i="1"/>
  <c r="AN286" i="1" s="1"/>
  <c r="S287" i="1"/>
  <c r="AH287" i="1" s="1"/>
  <c r="T287" i="1"/>
  <c r="AI287" i="1" s="1"/>
  <c r="U287" i="1"/>
  <c r="AJ287" i="1" s="1"/>
  <c r="V287" i="1"/>
  <c r="AK287" i="1" s="1"/>
  <c r="W287" i="1"/>
  <c r="AL287" i="1" s="1"/>
  <c r="X287" i="1"/>
  <c r="AM287" i="1" s="1"/>
  <c r="Y287" i="1"/>
  <c r="AN287" i="1" s="1"/>
  <c r="S288" i="1"/>
  <c r="AH288" i="1" s="1"/>
  <c r="T288" i="1"/>
  <c r="AI288" i="1" s="1"/>
  <c r="U288" i="1"/>
  <c r="AJ288" i="1" s="1"/>
  <c r="V288" i="1"/>
  <c r="AK288" i="1" s="1"/>
  <c r="W288" i="1"/>
  <c r="AL288" i="1" s="1"/>
  <c r="X288" i="1"/>
  <c r="AM288" i="1" s="1"/>
  <c r="Y288" i="1"/>
  <c r="AN288" i="1" s="1"/>
  <c r="S289" i="1"/>
  <c r="AH289" i="1" s="1"/>
  <c r="T289" i="1"/>
  <c r="AI289" i="1" s="1"/>
  <c r="U289" i="1"/>
  <c r="AJ289" i="1" s="1"/>
  <c r="V289" i="1"/>
  <c r="AK289" i="1" s="1"/>
  <c r="W289" i="1"/>
  <c r="AL289" i="1" s="1"/>
  <c r="X289" i="1"/>
  <c r="AM289" i="1" s="1"/>
  <c r="Y289" i="1"/>
  <c r="AN289" i="1" s="1"/>
  <c r="S290" i="1"/>
  <c r="AH290" i="1" s="1"/>
  <c r="T290" i="1"/>
  <c r="AI290" i="1" s="1"/>
  <c r="U290" i="1"/>
  <c r="AJ290" i="1" s="1"/>
  <c r="V290" i="1"/>
  <c r="AK290" i="1" s="1"/>
  <c r="W290" i="1"/>
  <c r="AL290" i="1" s="1"/>
  <c r="X290" i="1"/>
  <c r="AM290" i="1" s="1"/>
  <c r="Y290" i="1"/>
  <c r="AN290" i="1" s="1"/>
  <c r="S291" i="1"/>
  <c r="AH291" i="1" s="1"/>
  <c r="T291" i="1"/>
  <c r="AI291" i="1" s="1"/>
  <c r="U291" i="1"/>
  <c r="AJ291" i="1" s="1"/>
  <c r="V291" i="1"/>
  <c r="AK291" i="1" s="1"/>
  <c r="W291" i="1"/>
  <c r="AL291" i="1" s="1"/>
  <c r="X291" i="1"/>
  <c r="AM291" i="1" s="1"/>
  <c r="Y291" i="1"/>
  <c r="AN291" i="1" s="1"/>
  <c r="S292" i="1"/>
  <c r="AH292" i="1" s="1"/>
  <c r="T292" i="1"/>
  <c r="AI292" i="1" s="1"/>
  <c r="U292" i="1"/>
  <c r="AJ292" i="1" s="1"/>
  <c r="V292" i="1"/>
  <c r="AK292" i="1" s="1"/>
  <c r="W292" i="1"/>
  <c r="AL292" i="1" s="1"/>
  <c r="X292" i="1"/>
  <c r="AM292" i="1" s="1"/>
  <c r="Y292" i="1"/>
  <c r="AN292" i="1" s="1"/>
  <c r="S293" i="1"/>
  <c r="AH293" i="1" s="1"/>
  <c r="T293" i="1"/>
  <c r="AI293" i="1" s="1"/>
  <c r="U293" i="1"/>
  <c r="AJ293" i="1" s="1"/>
  <c r="V293" i="1"/>
  <c r="AK293" i="1" s="1"/>
  <c r="W293" i="1"/>
  <c r="AL293" i="1" s="1"/>
  <c r="X293" i="1"/>
  <c r="AM293" i="1" s="1"/>
  <c r="Y293" i="1"/>
  <c r="AN293" i="1" s="1"/>
  <c r="S294" i="1"/>
  <c r="AH294" i="1" s="1"/>
  <c r="T294" i="1"/>
  <c r="AI294" i="1" s="1"/>
  <c r="U294" i="1"/>
  <c r="AJ294" i="1" s="1"/>
  <c r="V294" i="1"/>
  <c r="AK294" i="1" s="1"/>
  <c r="W294" i="1"/>
  <c r="AL294" i="1" s="1"/>
  <c r="X294" i="1"/>
  <c r="AM294" i="1" s="1"/>
  <c r="Y294" i="1"/>
  <c r="AN294" i="1" s="1"/>
  <c r="S295" i="1"/>
  <c r="AH295" i="1" s="1"/>
  <c r="T295" i="1"/>
  <c r="AI295" i="1" s="1"/>
  <c r="U295" i="1"/>
  <c r="AJ295" i="1" s="1"/>
  <c r="V295" i="1"/>
  <c r="AK295" i="1" s="1"/>
  <c r="W295" i="1"/>
  <c r="AL295" i="1" s="1"/>
  <c r="X295" i="1"/>
  <c r="AM295" i="1" s="1"/>
  <c r="Y295" i="1"/>
  <c r="AN295" i="1" s="1"/>
  <c r="S296" i="1"/>
  <c r="AH296" i="1" s="1"/>
  <c r="T296" i="1"/>
  <c r="AI296" i="1" s="1"/>
  <c r="U296" i="1"/>
  <c r="AJ296" i="1" s="1"/>
  <c r="V296" i="1"/>
  <c r="AK296" i="1" s="1"/>
  <c r="W296" i="1"/>
  <c r="AL296" i="1" s="1"/>
  <c r="X296" i="1"/>
  <c r="AM296" i="1" s="1"/>
  <c r="Y296" i="1"/>
  <c r="AN296" i="1" s="1"/>
  <c r="S297" i="1"/>
  <c r="AH297" i="1" s="1"/>
  <c r="T297" i="1"/>
  <c r="AI297" i="1" s="1"/>
  <c r="U297" i="1"/>
  <c r="AJ297" i="1" s="1"/>
  <c r="V297" i="1"/>
  <c r="AK297" i="1" s="1"/>
  <c r="W297" i="1"/>
  <c r="AL297" i="1" s="1"/>
  <c r="X297" i="1"/>
  <c r="AM297" i="1" s="1"/>
  <c r="Y297" i="1"/>
  <c r="AN297" i="1" s="1"/>
  <c r="S298" i="1"/>
  <c r="AH298" i="1" s="1"/>
  <c r="T298" i="1"/>
  <c r="AI298" i="1" s="1"/>
  <c r="U298" i="1"/>
  <c r="AJ298" i="1" s="1"/>
  <c r="V298" i="1"/>
  <c r="AK298" i="1" s="1"/>
  <c r="W298" i="1"/>
  <c r="AL298" i="1" s="1"/>
  <c r="X298" i="1"/>
  <c r="AM298" i="1" s="1"/>
  <c r="Y298" i="1"/>
  <c r="AN298" i="1" s="1"/>
  <c r="S299" i="1"/>
  <c r="AH299" i="1" s="1"/>
  <c r="T299" i="1"/>
  <c r="AI299" i="1" s="1"/>
  <c r="U299" i="1"/>
  <c r="AJ299" i="1" s="1"/>
  <c r="V299" i="1"/>
  <c r="AK299" i="1" s="1"/>
  <c r="W299" i="1"/>
  <c r="AL299" i="1" s="1"/>
  <c r="X299" i="1"/>
  <c r="AM299" i="1" s="1"/>
  <c r="Y299" i="1"/>
  <c r="AN299" i="1" s="1"/>
  <c r="S300" i="1"/>
  <c r="AH300" i="1" s="1"/>
  <c r="T300" i="1"/>
  <c r="AI300" i="1" s="1"/>
  <c r="U300" i="1"/>
  <c r="AJ300" i="1" s="1"/>
  <c r="V300" i="1"/>
  <c r="AK300" i="1" s="1"/>
  <c r="W300" i="1"/>
  <c r="AL300" i="1" s="1"/>
  <c r="X300" i="1"/>
  <c r="AM300" i="1" s="1"/>
  <c r="Y300" i="1"/>
  <c r="AN300" i="1" s="1"/>
  <c r="S301" i="1"/>
  <c r="AH301" i="1" s="1"/>
  <c r="T301" i="1"/>
  <c r="AI301" i="1" s="1"/>
  <c r="U301" i="1"/>
  <c r="AJ301" i="1" s="1"/>
  <c r="V301" i="1"/>
  <c r="AK301" i="1" s="1"/>
  <c r="W301" i="1"/>
  <c r="AL301" i="1" s="1"/>
  <c r="X301" i="1"/>
  <c r="AM301" i="1" s="1"/>
  <c r="Y301" i="1"/>
  <c r="AN301" i="1" s="1"/>
  <c r="S302" i="1"/>
  <c r="AH302" i="1" s="1"/>
  <c r="T302" i="1"/>
  <c r="AI302" i="1" s="1"/>
  <c r="U302" i="1"/>
  <c r="AJ302" i="1" s="1"/>
  <c r="V302" i="1"/>
  <c r="AK302" i="1" s="1"/>
  <c r="W302" i="1"/>
  <c r="AL302" i="1" s="1"/>
  <c r="X302" i="1"/>
  <c r="AM302" i="1" s="1"/>
  <c r="Y302" i="1"/>
  <c r="AN302" i="1" s="1"/>
  <c r="S303" i="1"/>
  <c r="AH303" i="1" s="1"/>
  <c r="T303" i="1"/>
  <c r="AI303" i="1" s="1"/>
  <c r="U303" i="1"/>
  <c r="AJ303" i="1" s="1"/>
  <c r="V303" i="1"/>
  <c r="AK303" i="1" s="1"/>
  <c r="W303" i="1"/>
  <c r="AL303" i="1" s="1"/>
  <c r="X303" i="1"/>
  <c r="AM303" i="1" s="1"/>
  <c r="Y303" i="1"/>
  <c r="AN303" i="1" s="1"/>
  <c r="S304" i="1"/>
  <c r="AH304" i="1" s="1"/>
  <c r="T304" i="1"/>
  <c r="AI304" i="1" s="1"/>
  <c r="U304" i="1"/>
  <c r="AJ304" i="1" s="1"/>
  <c r="V304" i="1"/>
  <c r="AK304" i="1" s="1"/>
  <c r="W304" i="1"/>
  <c r="AL304" i="1" s="1"/>
  <c r="X304" i="1"/>
  <c r="AM304" i="1" s="1"/>
  <c r="Y304" i="1"/>
  <c r="AN304" i="1" s="1"/>
  <c r="S305" i="1"/>
  <c r="AH305" i="1" s="1"/>
  <c r="T305" i="1"/>
  <c r="AI305" i="1" s="1"/>
  <c r="U305" i="1"/>
  <c r="AJ305" i="1" s="1"/>
  <c r="V305" i="1"/>
  <c r="AK305" i="1" s="1"/>
  <c r="W305" i="1"/>
  <c r="AL305" i="1" s="1"/>
  <c r="X305" i="1"/>
  <c r="AM305" i="1" s="1"/>
  <c r="Y305" i="1"/>
  <c r="AN305" i="1" s="1"/>
  <c r="S306" i="1"/>
  <c r="AH306" i="1" s="1"/>
  <c r="T306" i="1"/>
  <c r="AI306" i="1" s="1"/>
  <c r="U306" i="1"/>
  <c r="AJ306" i="1" s="1"/>
  <c r="V306" i="1"/>
  <c r="AK306" i="1" s="1"/>
  <c r="W306" i="1"/>
  <c r="AL306" i="1" s="1"/>
  <c r="X306" i="1"/>
  <c r="AM306" i="1" s="1"/>
  <c r="Y306" i="1"/>
  <c r="AN306" i="1" s="1"/>
  <c r="S307" i="1"/>
  <c r="AH307" i="1" s="1"/>
  <c r="T307" i="1"/>
  <c r="AI307" i="1" s="1"/>
  <c r="U307" i="1"/>
  <c r="AJ307" i="1" s="1"/>
  <c r="V307" i="1"/>
  <c r="AK307" i="1" s="1"/>
  <c r="W307" i="1"/>
  <c r="AL307" i="1" s="1"/>
  <c r="X307" i="1"/>
  <c r="AM307" i="1" s="1"/>
  <c r="Y307" i="1"/>
  <c r="AN307" i="1" s="1"/>
  <c r="S308" i="1"/>
  <c r="AH308" i="1" s="1"/>
  <c r="T308" i="1"/>
  <c r="AI308" i="1" s="1"/>
  <c r="U308" i="1"/>
  <c r="AJ308" i="1" s="1"/>
  <c r="V308" i="1"/>
  <c r="AK308" i="1" s="1"/>
  <c r="W308" i="1"/>
  <c r="AL308" i="1" s="1"/>
  <c r="X308" i="1"/>
  <c r="AM308" i="1" s="1"/>
  <c r="Y308" i="1"/>
  <c r="AN308" i="1" s="1"/>
  <c r="S309" i="1"/>
  <c r="AH309" i="1" s="1"/>
  <c r="T309" i="1"/>
  <c r="AI309" i="1" s="1"/>
  <c r="U309" i="1"/>
  <c r="AJ309" i="1" s="1"/>
  <c r="V309" i="1"/>
  <c r="AK309" i="1" s="1"/>
  <c r="W309" i="1"/>
  <c r="AL309" i="1" s="1"/>
  <c r="X309" i="1"/>
  <c r="AM309" i="1" s="1"/>
  <c r="Y309" i="1"/>
  <c r="AN309" i="1" s="1"/>
  <c r="S310" i="1"/>
  <c r="AH310" i="1" s="1"/>
  <c r="T310" i="1"/>
  <c r="AI310" i="1" s="1"/>
  <c r="U310" i="1"/>
  <c r="AJ310" i="1" s="1"/>
  <c r="V310" i="1"/>
  <c r="AK310" i="1" s="1"/>
  <c r="W310" i="1"/>
  <c r="AL310" i="1" s="1"/>
  <c r="X310" i="1"/>
  <c r="AM310" i="1" s="1"/>
  <c r="Y310" i="1"/>
  <c r="AN310" i="1" s="1"/>
  <c r="S311" i="1"/>
  <c r="AH311" i="1" s="1"/>
  <c r="T311" i="1"/>
  <c r="AI311" i="1" s="1"/>
  <c r="U311" i="1"/>
  <c r="AJ311" i="1" s="1"/>
  <c r="V311" i="1"/>
  <c r="AK311" i="1" s="1"/>
  <c r="W311" i="1"/>
  <c r="AL311" i="1" s="1"/>
  <c r="X311" i="1"/>
  <c r="AM311" i="1" s="1"/>
  <c r="Y311" i="1"/>
  <c r="AN311" i="1" s="1"/>
  <c r="S312" i="1"/>
  <c r="AH312" i="1" s="1"/>
  <c r="T312" i="1"/>
  <c r="AI312" i="1" s="1"/>
  <c r="U312" i="1"/>
  <c r="AJ312" i="1" s="1"/>
  <c r="V312" i="1"/>
  <c r="AK312" i="1" s="1"/>
  <c r="W312" i="1"/>
  <c r="AL312" i="1" s="1"/>
  <c r="X312" i="1"/>
  <c r="AM312" i="1" s="1"/>
  <c r="Y312" i="1"/>
  <c r="AN312" i="1" s="1"/>
  <c r="S313" i="1"/>
  <c r="AH313" i="1" s="1"/>
  <c r="T313" i="1"/>
  <c r="AI313" i="1" s="1"/>
  <c r="U313" i="1"/>
  <c r="AJ313" i="1" s="1"/>
  <c r="V313" i="1"/>
  <c r="AK313" i="1" s="1"/>
  <c r="W313" i="1"/>
  <c r="AL313" i="1" s="1"/>
  <c r="X313" i="1"/>
  <c r="AM313" i="1" s="1"/>
  <c r="Y313" i="1"/>
  <c r="AN313" i="1" s="1"/>
  <c r="S314" i="1"/>
  <c r="AH314" i="1" s="1"/>
  <c r="T314" i="1"/>
  <c r="AI314" i="1" s="1"/>
  <c r="U314" i="1"/>
  <c r="AJ314" i="1" s="1"/>
  <c r="V314" i="1"/>
  <c r="AK314" i="1" s="1"/>
  <c r="W314" i="1"/>
  <c r="AL314" i="1" s="1"/>
  <c r="X314" i="1"/>
  <c r="AM314" i="1" s="1"/>
  <c r="Y314" i="1"/>
  <c r="AN314" i="1" s="1"/>
  <c r="S315" i="1"/>
  <c r="AH315" i="1" s="1"/>
  <c r="T315" i="1"/>
  <c r="AI315" i="1" s="1"/>
  <c r="U315" i="1"/>
  <c r="AJ315" i="1" s="1"/>
  <c r="V315" i="1"/>
  <c r="AK315" i="1" s="1"/>
  <c r="W315" i="1"/>
  <c r="AL315" i="1" s="1"/>
  <c r="X315" i="1"/>
  <c r="AM315" i="1" s="1"/>
  <c r="Y315" i="1"/>
  <c r="AN315" i="1" s="1"/>
  <c r="S316" i="1"/>
  <c r="AH316" i="1" s="1"/>
  <c r="T316" i="1"/>
  <c r="AI316" i="1" s="1"/>
  <c r="U316" i="1"/>
  <c r="AJ316" i="1" s="1"/>
  <c r="V316" i="1"/>
  <c r="AK316" i="1" s="1"/>
  <c r="W316" i="1"/>
  <c r="AL316" i="1" s="1"/>
  <c r="X316" i="1"/>
  <c r="AM316" i="1" s="1"/>
  <c r="Y316" i="1"/>
  <c r="AN316" i="1" s="1"/>
  <c r="S317" i="1"/>
  <c r="AH317" i="1" s="1"/>
  <c r="T317" i="1"/>
  <c r="AI317" i="1" s="1"/>
  <c r="U317" i="1"/>
  <c r="AJ317" i="1" s="1"/>
  <c r="V317" i="1"/>
  <c r="AK317" i="1" s="1"/>
  <c r="W317" i="1"/>
  <c r="AL317" i="1" s="1"/>
  <c r="X317" i="1"/>
  <c r="AM317" i="1" s="1"/>
  <c r="Y317" i="1"/>
  <c r="AN317" i="1" s="1"/>
  <c r="S318" i="1"/>
  <c r="AH318" i="1" s="1"/>
  <c r="T318" i="1"/>
  <c r="AI318" i="1" s="1"/>
  <c r="U318" i="1"/>
  <c r="AJ318" i="1" s="1"/>
  <c r="V318" i="1"/>
  <c r="AK318" i="1" s="1"/>
  <c r="W318" i="1"/>
  <c r="AL318" i="1" s="1"/>
  <c r="X318" i="1"/>
  <c r="AM318" i="1" s="1"/>
  <c r="Y318" i="1"/>
  <c r="AN318" i="1" s="1"/>
  <c r="S319" i="1"/>
  <c r="AH319" i="1" s="1"/>
  <c r="T319" i="1"/>
  <c r="AI319" i="1" s="1"/>
  <c r="U319" i="1"/>
  <c r="AJ319" i="1" s="1"/>
  <c r="V319" i="1"/>
  <c r="AK319" i="1" s="1"/>
  <c r="W319" i="1"/>
  <c r="AL319" i="1" s="1"/>
  <c r="X319" i="1"/>
  <c r="AM319" i="1" s="1"/>
  <c r="Y319" i="1"/>
  <c r="AN319" i="1" s="1"/>
  <c r="S320" i="1"/>
  <c r="AH320" i="1" s="1"/>
  <c r="T320" i="1"/>
  <c r="AI320" i="1" s="1"/>
  <c r="U320" i="1"/>
  <c r="AJ320" i="1" s="1"/>
  <c r="V320" i="1"/>
  <c r="AK320" i="1" s="1"/>
  <c r="W320" i="1"/>
  <c r="AL320" i="1" s="1"/>
  <c r="X320" i="1"/>
  <c r="AM320" i="1" s="1"/>
  <c r="Y320" i="1"/>
  <c r="AN320" i="1" s="1"/>
  <c r="S321" i="1"/>
  <c r="AH321" i="1" s="1"/>
  <c r="T321" i="1"/>
  <c r="AI321" i="1" s="1"/>
  <c r="U321" i="1"/>
  <c r="AJ321" i="1" s="1"/>
  <c r="V321" i="1"/>
  <c r="AK321" i="1" s="1"/>
  <c r="W321" i="1"/>
  <c r="AL321" i="1" s="1"/>
  <c r="X321" i="1"/>
  <c r="AM321" i="1" s="1"/>
  <c r="Y321" i="1"/>
  <c r="AN321" i="1" s="1"/>
  <c r="S322" i="1"/>
  <c r="AH322" i="1" s="1"/>
  <c r="T322" i="1"/>
  <c r="AI322" i="1" s="1"/>
  <c r="U322" i="1"/>
  <c r="AJ322" i="1" s="1"/>
  <c r="V322" i="1"/>
  <c r="AK322" i="1" s="1"/>
  <c r="W322" i="1"/>
  <c r="AL322" i="1" s="1"/>
  <c r="X322" i="1"/>
  <c r="AM322" i="1" s="1"/>
  <c r="Y322" i="1"/>
  <c r="AN322" i="1" s="1"/>
  <c r="S323" i="1"/>
  <c r="AH323" i="1" s="1"/>
  <c r="T323" i="1"/>
  <c r="AI323" i="1" s="1"/>
  <c r="U323" i="1"/>
  <c r="AJ323" i="1" s="1"/>
  <c r="V323" i="1"/>
  <c r="AK323" i="1" s="1"/>
  <c r="W323" i="1"/>
  <c r="AL323" i="1" s="1"/>
  <c r="X323" i="1"/>
  <c r="AM323" i="1" s="1"/>
  <c r="Y323" i="1"/>
  <c r="AN323" i="1" s="1"/>
  <c r="S324" i="1"/>
  <c r="AH324" i="1" s="1"/>
  <c r="T324" i="1"/>
  <c r="AI324" i="1" s="1"/>
  <c r="U324" i="1"/>
  <c r="AJ324" i="1" s="1"/>
  <c r="V324" i="1"/>
  <c r="AK324" i="1" s="1"/>
  <c r="W324" i="1"/>
  <c r="AL324" i="1" s="1"/>
  <c r="X324" i="1"/>
  <c r="AM324" i="1" s="1"/>
  <c r="Y324" i="1"/>
  <c r="AN324" i="1" s="1"/>
  <c r="S325" i="1"/>
  <c r="AH325" i="1" s="1"/>
  <c r="T325" i="1"/>
  <c r="AI325" i="1" s="1"/>
  <c r="U325" i="1"/>
  <c r="AJ325" i="1" s="1"/>
  <c r="V325" i="1"/>
  <c r="AK325" i="1" s="1"/>
  <c r="W325" i="1"/>
  <c r="AL325" i="1" s="1"/>
  <c r="X325" i="1"/>
  <c r="AM325" i="1" s="1"/>
  <c r="Y325" i="1"/>
  <c r="AN325" i="1" s="1"/>
  <c r="S326" i="1"/>
  <c r="AH326" i="1" s="1"/>
  <c r="T326" i="1"/>
  <c r="AI326" i="1" s="1"/>
  <c r="U326" i="1"/>
  <c r="AJ326" i="1" s="1"/>
  <c r="V326" i="1"/>
  <c r="AK326" i="1" s="1"/>
  <c r="W326" i="1"/>
  <c r="AL326" i="1" s="1"/>
  <c r="X326" i="1"/>
  <c r="AM326" i="1" s="1"/>
  <c r="Y326" i="1"/>
  <c r="AN326" i="1" s="1"/>
  <c r="S327" i="1"/>
  <c r="AH327" i="1" s="1"/>
  <c r="T327" i="1"/>
  <c r="AI327" i="1" s="1"/>
  <c r="U327" i="1"/>
  <c r="AJ327" i="1" s="1"/>
  <c r="V327" i="1"/>
  <c r="AK327" i="1" s="1"/>
  <c r="W327" i="1"/>
  <c r="AL327" i="1" s="1"/>
  <c r="X327" i="1"/>
  <c r="AM327" i="1" s="1"/>
  <c r="Y327" i="1"/>
  <c r="AN327" i="1" s="1"/>
  <c r="S328" i="1"/>
  <c r="AH328" i="1" s="1"/>
  <c r="T328" i="1"/>
  <c r="AI328" i="1" s="1"/>
  <c r="U328" i="1"/>
  <c r="AJ328" i="1" s="1"/>
  <c r="V328" i="1"/>
  <c r="AK328" i="1" s="1"/>
  <c r="W328" i="1"/>
  <c r="AL328" i="1" s="1"/>
  <c r="X328" i="1"/>
  <c r="AM328" i="1" s="1"/>
  <c r="Y328" i="1"/>
  <c r="AN328" i="1" s="1"/>
  <c r="S329" i="1"/>
  <c r="AH329" i="1" s="1"/>
  <c r="T329" i="1"/>
  <c r="AI329" i="1" s="1"/>
  <c r="U329" i="1"/>
  <c r="AJ329" i="1" s="1"/>
  <c r="V329" i="1"/>
  <c r="AK329" i="1" s="1"/>
  <c r="W329" i="1"/>
  <c r="AL329" i="1" s="1"/>
  <c r="X329" i="1"/>
  <c r="AM329" i="1" s="1"/>
  <c r="Y329" i="1"/>
  <c r="AN329" i="1" s="1"/>
  <c r="S330" i="1"/>
  <c r="AH330" i="1" s="1"/>
  <c r="T330" i="1"/>
  <c r="AI330" i="1" s="1"/>
  <c r="U330" i="1"/>
  <c r="AJ330" i="1" s="1"/>
  <c r="V330" i="1"/>
  <c r="AK330" i="1" s="1"/>
  <c r="W330" i="1"/>
  <c r="AL330" i="1" s="1"/>
  <c r="X330" i="1"/>
  <c r="AM330" i="1" s="1"/>
  <c r="Y330" i="1"/>
  <c r="AN330" i="1" s="1"/>
  <c r="S331" i="1"/>
  <c r="AH331" i="1" s="1"/>
  <c r="T331" i="1"/>
  <c r="AI331" i="1" s="1"/>
  <c r="U331" i="1"/>
  <c r="AJ331" i="1" s="1"/>
  <c r="V331" i="1"/>
  <c r="AK331" i="1" s="1"/>
  <c r="W331" i="1"/>
  <c r="AL331" i="1" s="1"/>
  <c r="X331" i="1"/>
  <c r="AM331" i="1" s="1"/>
  <c r="Y331" i="1"/>
  <c r="AN331" i="1" s="1"/>
  <c r="S332" i="1"/>
  <c r="AH332" i="1" s="1"/>
  <c r="T332" i="1"/>
  <c r="AI332" i="1" s="1"/>
  <c r="U332" i="1"/>
  <c r="AJ332" i="1" s="1"/>
  <c r="V332" i="1"/>
  <c r="AK332" i="1" s="1"/>
  <c r="W332" i="1"/>
  <c r="AL332" i="1" s="1"/>
  <c r="X332" i="1"/>
  <c r="AM332" i="1" s="1"/>
  <c r="Y332" i="1"/>
  <c r="AN332" i="1" s="1"/>
  <c r="S333" i="1"/>
  <c r="AH333" i="1" s="1"/>
  <c r="T333" i="1"/>
  <c r="AI333" i="1" s="1"/>
  <c r="U333" i="1"/>
  <c r="AJ333" i="1" s="1"/>
  <c r="V333" i="1"/>
  <c r="AK333" i="1" s="1"/>
  <c r="W333" i="1"/>
  <c r="AL333" i="1" s="1"/>
  <c r="X333" i="1"/>
  <c r="AM333" i="1" s="1"/>
  <c r="Y333" i="1"/>
  <c r="AN333" i="1" s="1"/>
  <c r="S334" i="1"/>
  <c r="AH334" i="1" s="1"/>
  <c r="T334" i="1"/>
  <c r="AI334" i="1" s="1"/>
  <c r="U334" i="1"/>
  <c r="AJ334" i="1" s="1"/>
  <c r="V334" i="1"/>
  <c r="AK334" i="1" s="1"/>
  <c r="W334" i="1"/>
  <c r="AL334" i="1" s="1"/>
  <c r="X334" i="1"/>
  <c r="AM334" i="1" s="1"/>
  <c r="Y334" i="1"/>
  <c r="AN334" i="1" s="1"/>
  <c r="S335" i="1"/>
  <c r="AH335" i="1" s="1"/>
  <c r="T335" i="1"/>
  <c r="AI335" i="1" s="1"/>
  <c r="U335" i="1"/>
  <c r="AJ335" i="1" s="1"/>
  <c r="V335" i="1"/>
  <c r="AK335" i="1" s="1"/>
  <c r="W335" i="1"/>
  <c r="AL335" i="1" s="1"/>
  <c r="X335" i="1"/>
  <c r="AM335" i="1" s="1"/>
  <c r="Y335" i="1"/>
  <c r="AN335" i="1" s="1"/>
  <c r="S336" i="1"/>
  <c r="AH336" i="1" s="1"/>
  <c r="T336" i="1"/>
  <c r="AI336" i="1" s="1"/>
  <c r="U336" i="1"/>
  <c r="AJ336" i="1" s="1"/>
  <c r="V336" i="1"/>
  <c r="AK336" i="1" s="1"/>
  <c r="W336" i="1"/>
  <c r="AL336" i="1" s="1"/>
  <c r="X336" i="1"/>
  <c r="AM336" i="1" s="1"/>
  <c r="Y336" i="1"/>
  <c r="AN336" i="1" s="1"/>
  <c r="S337" i="1"/>
  <c r="AH337" i="1" s="1"/>
  <c r="T337" i="1"/>
  <c r="AI337" i="1" s="1"/>
  <c r="U337" i="1"/>
  <c r="AJ337" i="1" s="1"/>
  <c r="V337" i="1"/>
  <c r="AK337" i="1" s="1"/>
  <c r="W337" i="1"/>
  <c r="AL337" i="1" s="1"/>
  <c r="X337" i="1"/>
  <c r="AM337" i="1" s="1"/>
  <c r="Y337" i="1"/>
  <c r="AN337" i="1" s="1"/>
  <c r="S338" i="1"/>
  <c r="AH338" i="1" s="1"/>
  <c r="T338" i="1"/>
  <c r="AI338" i="1" s="1"/>
  <c r="U338" i="1"/>
  <c r="AJ338" i="1" s="1"/>
  <c r="V338" i="1"/>
  <c r="AK338" i="1" s="1"/>
  <c r="W338" i="1"/>
  <c r="AL338" i="1" s="1"/>
  <c r="X338" i="1"/>
  <c r="AM338" i="1" s="1"/>
  <c r="Y338" i="1"/>
  <c r="AN338" i="1" s="1"/>
  <c r="S339" i="1"/>
  <c r="AH339" i="1" s="1"/>
  <c r="T339" i="1"/>
  <c r="AI339" i="1" s="1"/>
  <c r="U339" i="1"/>
  <c r="AJ339" i="1" s="1"/>
  <c r="V339" i="1"/>
  <c r="AK339" i="1" s="1"/>
  <c r="W339" i="1"/>
  <c r="AL339" i="1" s="1"/>
  <c r="X339" i="1"/>
  <c r="AM339" i="1" s="1"/>
  <c r="Y339" i="1"/>
  <c r="AN339" i="1" s="1"/>
  <c r="S340" i="1"/>
  <c r="AH340" i="1" s="1"/>
  <c r="T340" i="1"/>
  <c r="AI340" i="1" s="1"/>
  <c r="U340" i="1"/>
  <c r="AJ340" i="1" s="1"/>
  <c r="V340" i="1"/>
  <c r="AK340" i="1" s="1"/>
  <c r="W340" i="1"/>
  <c r="AL340" i="1" s="1"/>
  <c r="X340" i="1"/>
  <c r="AM340" i="1" s="1"/>
  <c r="Y340" i="1"/>
  <c r="AN340" i="1" s="1"/>
  <c r="S341" i="1"/>
  <c r="AH341" i="1" s="1"/>
  <c r="T341" i="1"/>
  <c r="AI341" i="1" s="1"/>
  <c r="U341" i="1"/>
  <c r="AJ341" i="1" s="1"/>
  <c r="V341" i="1"/>
  <c r="AK341" i="1" s="1"/>
  <c r="W341" i="1"/>
  <c r="AL341" i="1" s="1"/>
  <c r="X341" i="1"/>
  <c r="AM341" i="1" s="1"/>
  <c r="Y341" i="1"/>
  <c r="AN341" i="1" s="1"/>
  <c r="S342" i="1"/>
  <c r="AH342" i="1" s="1"/>
  <c r="T342" i="1"/>
  <c r="AI342" i="1" s="1"/>
  <c r="U342" i="1"/>
  <c r="AJ342" i="1" s="1"/>
  <c r="V342" i="1"/>
  <c r="AK342" i="1" s="1"/>
  <c r="W342" i="1"/>
  <c r="AL342" i="1" s="1"/>
  <c r="X342" i="1"/>
  <c r="AM342" i="1" s="1"/>
  <c r="Y342" i="1"/>
  <c r="AN342" i="1" s="1"/>
  <c r="S343" i="1"/>
  <c r="AH343" i="1" s="1"/>
  <c r="T343" i="1"/>
  <c r="AI343" i="1" s="1"/>
  <c r="U343" i="1"/>
  <c r="AJ343" i="1" s="1"/>
  <c r="V343" i="1"/>
  <c r="AK343" i="1" s="1"/>
  <c r="W343" i="1"/>
  <c r="AL343" i="1" s="1"/>
  <c r="X343" i="1"/>
  <c r="AM343" i="1" s="1"/>
  <c r="Y343" i="1"/>
  <c r="AN343" i="1" s="1"/>
  <c r="S344" i="1"/>
  <c r="AH344" i="1" s="1"/>
  <c r="T344" i="1"/>
  <c r="AI344" i="1" s="1"/>
  <c r="U344" i="1"/>
  <c r="AJ344" i="1" s="1"/>
  <c r="V344" i="1"/>
  <c r="AK344" i="1" s="1"/>
  <c r="W344" i="1"/>
  <c r="AL344" i="1" s="1"/>
  <c r="X344" i="1"/>
  <c r="AM344" i="1" s="1"/>
  <c r="Y344" i="1"/>
  <c r="AN344" i="1" s="1"/>
  <c r="S345" i="1"/>
  <c r="AH345" i="1" s="1"/>
  <c r="T345" i="1"/>
  <c r="AI345" i="1" s="1"/>
  <c r="U345" i="1"/>
  <c r="AJ345" i="1" s="1"/>
  <c r="V345" i="1"/>
  <c r="AK345" i="1" s="1"/>
  <c r="W345" i="1"/>
  <c r="AL345" i="1" s="1"/>
  <c r="X345" i="1"/>
  <c r="AM345" i="1" s="1"/>
  <c r="Y345" i="1"/>
  <c r="AN345" i="1" s="1"/>
  <c r="S346" i="1"/>
  <c r="AH346" i="1" s="1"/>
  <c r="T346" i="1"/>
  <c r="AI346" i="1" s="1"/>
  <c r="U346" i="1"/>
  <c r="AJ346" i="1" s="1"/>
  <c r="V346" i="1"/>
  <c r="AK346" i="1" s="1"/>
  <c r="W346" i="1"/>
  <c r="AL346" i="1" s="1"/>
  <c r="X346" i="1"/>
  <c r="AM346" i="1" s="1"/>
  <c r="Y346" i="1"/>
  <c r="AN346" i="1" s="1"/>
  <c r="S347" i="1"/>
  <c r="AH347" i="1" s="1"/>
  <c r="T347" i="1"/>
  <c r="AI347" i="1" s="1"/>
  <c r="U347" i="1"/>
  <c r="AJ347" i="1" s="1"/>
  <c r="V347" i="1"/>
  <c r="AK347" i="1" s="1"/>
  <c r="W347" i="1"/>
  <c r="AL347" i="1" s="1"/>
  <c r="X347" i="1"/>
  <c r="AM347" i="1" s="1"/>
  <c r="Y347" i="1"/>
  <c r="AN347" i="1" s="1"/>
  <c r="S348" i="1"/>
  <c r="AH348" i="1" s="1"/>
  <c r="T348" i="1"/>
  <c r="AI348" i="1" s="1"/>
  <c r="U348" i="1"/>
  <c r="AJ348" i="1" s="1"/>
  <c r="V348" i="1"/>
  <c r="AK348" i="1" s="1"/>
  <c r="W348" i="1"/>
  <c r="AL348" i="1" s="1"/>
  <c r="X348" i="1"/>
  <c r="AM348" i="1" s="1"/>
  <c r="Y348" i="1"/>
  <c r="AN348" i="1" s="1"/>
  <c r="S349" i="1"/>
  <c r="AH349" i="1" s="1"/>
  <c r="T349" i="1"/>
  <c r="AI349" i="1" s="1"/>
  <c r="U349" i="1"/>
  <c r="AJ349" i="1" s="1"/>
  <c r="V349" i="1"/>
  <c r="AK349" i="1" s="1"/>
  <c r="W349" i="1"/>
  <c r="AL349" i="1" s="1"/>
  <c r="X349" i="1"/>
  <c r="AM349" i="1" s="1"/>
  <c r="Y349" i="1"/>
  <c r="AN349" i="1" s="1"/>
  <c r="S350" i="1"/>
  <c r="AH350" i="1" s="1"/>
  <c r="T350" i="1"/>
  <c r="AI350" i="1" s="1"/>
  <c r="U350" i="1"/>
  <c r="AJ350" i="1" s="1"/>
  <c r="V350" i="1"/>
  <c r="AK350" i="1" s="1"/>
  <c r="W350" i="1"/>
  <c r="AL350" i="1" s="1"/>
  <c r="X350" i="1"/>
  <c r="AM350" i="1" s="1"/>
  <c r="Y350" i="1"/>
  <c r="AN350" i="1" s="1"/>
  <c r="S351" i="1"/>
  <c r="AH351" i="1" s="1"/>
  <c r="T351" i="1"/>
  <c r="AI351" i="1" s="1"/>
  <c r="U351" i="1"/>
  <c r="AJ351" i="1" s="1"/>
  <c r="V351" i="1"/>
  <c r="AK351" i="1" s="1"/>
  <c r="W351" i="1"/>
  <c r="AL351" i="1" s="1"/>
  <c r="X351" i="1"/>
  <c r="AM351" i="1" s="1"/>
  <c r="Y351" i="1"/>
  <c r="AN351" i="1" s="1"/>
  <c r="S352" i="1"/>
  <c r="AH352" i="1" s="1"/>
  <c r="T352" i="1"/>
  <c r="AI352" i="1" s="1"/>
  <c r="U352" i="1"/>
  <c r="AJ352" i="1" s="1"/>
  <c r="V352" i="1"/>
  <c r="AK352" i="1" s="1"/>
  <c r="W352" i="1"/>
  <c r="AL352" i="1" s="1"/>
  <c r="X352" i="1"/>
  <c r="AM352" i="1" s="1"/>
  <c r="Y352" i="1"/>
  <c r="AN352" i="1" s="1"/>
  <c r="S353" i="1"/>
  <c r="AH353" i="1" s="1"/>
  <c r="T353" i="1"/>
  <c r="AI353" i="1" s="1"/>
  <c r="U353" i="1"/>
  <c r="AJ353" i="1" s="1"/>
  <c r="V353" i="1"/>
  <c r="AK353" i="1" s="1"/>
  <c r="W353" i="1"/>
  <c r="AL353" i="1" s="1"/>
  <c r="X353" i="1"/>
  <c r="AM353" i="1" s="1"/>
  <c r="Y353" i="1"/>
  <c r="AN353" i="1" s="1"/>
  <c r="S354" i="1"/>
  <c r="AH354" i="1" s="1"/>
  <c r="T354" i="1"/>
  <c r="AI354" i="1" s="1"/>
  <c r="U354" i="1"/>
  <c r="AJ354" i="1" s="1"/>
  <c r="V354" i="1"/>
  <c r="AK354" i="1" s="1"/>
  <c r="W354" i="1"/>
  <c r="AL354" i="1" s="1"/>
  <c r="X354" i="1"/>
  <c r="AM354" i="1" s="1"/>
  <c r="Y354" i="1"/>
  <c r="AN354" i="1" s="1"/>
  <c r="S355" i="1"/>
  <c r="AH355" i="1" s="1"/>
  <c r="T355" i="1"/>
  <c r="AI355" i="1" s="1"/>
  <c r="U355" i="1"/>
  <c r="AJ355" i="1" s="1"/>
  <c r="V355" i="1"/>
  <c r="AK355" i="1" s="1"/>
  <c r="W355" i="1"/>
  <c r="AL355" i="1" s="1"/>
  <c r="X355" i="1"/>
  <c r="AM355" i="1" s="1"/>
  <c r="Y355" i="1"/>
  <c r="AN355" i="1" s="1"/>
  <c r="S356" i="1"/>
  <c r="AH356" i="1" s="1"/>
  <c r="T356" i="1"/>
  <c r="AI356" i="1" s="1"/>
  <c r="U356" i="1"/>
  <c r="AJ356" i="1" s="1"/>
  <c r="V356" i="1"/>
  <c r="AK356" i="1" s="1"/>
  <c r="W356" i="1"/>
  <c r="AL356" i="1" s="1"/>
  <c r="X356" i="1"/>
  <c r="AM356" i="1" s="1"/>
  <c r="Y356" i="1"/>
  <c r="AN356" i="1" s="1"/>
  <c r="S357" i="1"/>
  <c r="AH357" i="1" s="1"/>
  <c r="T357" i="1"/>
  <c r="AI357" i="1" s="1"/>
  <c r="U357" i="1"/>
  <c r="AJ357" i="1" s="1"/>
  <c r="V357" i="1"/>
  <c r="AK357" i="1" s="1"/>
  <c r="W357" i="1"/>
  <c r="AL357" i="1" s="1"/>
  <c r="X357" i="1"/>
  <c r="AM357" i="1" s="1"/>
  <c r="Y357" i="1"/>
  <c r="AN357" i="1" s="1"/>
  <c r="S358" i="1"/>
  <c r="AH358" i="1" s="1"/>
  <c r="T358" i="1"/>
  <c r="AI358" i="1" s="1"/>
  <c r="U358" i="1"/>
  <c r="AJ358" i="1" s="1"/>
  <c r="V358" i="1"/>
  <c r="AK358" i="1" s="1"/>
  <c r="W358" i="1"/>
  <c r="AL358" i="1" s="1"/>
  <c r="X358" i="1"/>
  <c r="AM358" i="1" s="1"/>
  <c r="Y358" i="1"/>
  <c r="AN358" i="1" s="1"/>
  <c r="S359" i="1"/>
  <c r="AH359" i="1" s="1"/>
  <c r="T359" i="1"/>
  <c r="AI359" i="1" s="1"/>
  <c r="U359" i="1"/>
  <c r="AJ359" i="1" s="1"/>
  <c r="V359" i="1"/>
  <c r="AK359" i="1" s="1"/>
  <c r="W359" i="1"/>
  <c r="AL359" i="1" s="1"/>
  <c r="X359" i="1"/>
  <c r="AM359" i="1" s="1"/>
  <c r="Y359" i="1"/>
  <c r="AN359" i="1" s="1"/>
  <c r="S360" i="1"/>
  <c r="AH360" i="1" s="1"/>
  <c r="T360" i="1"/>
  <c r="AI360" i="1" s="1"/>
  <c r="U360" i="1"/>
  <c r="AJ360" i="1" s="1"/>
  <c r="V360" i="1"/>
  <c r="AK360" i="1" s="1"/>
  <c r="W360" i="1"/>
  <c r="AL360" i="1" s="1"/>
  <c r="X360" i="1"/>
  <c r="AM360" i="1" s="1"/>
  <c r="Y360" i="1"/>
  <c r="AN360" i="1" s="1"/>
  <c r="S361" i="1"/>
  <c r="AH361" i="1" s="1"/>
  <c r="T361" i="1"/>
  <c r="AI361" i="1" s="1"/>
  <c r="U361" i="1"/>
  <c r="AJ361" i="1" s="1"/>
  <c r="V361" i="1"/>
  <c r="AK361" i="1" s="1"/>
  <c r="W361" i="1"/>
  <c r="AL361" i="1" s="1"/>
  <c r="X361" i="1"/>
  <c r="AM361" i="1" s="1"/>
  <c r="Y361" i="1"/>
  <c r="AN361" i="1" s="1"/>
  <c r="S362" i="1"/>
  <c r="AH362" i="1" s="1"/>
  <c r="T362" i="1"/>
  <c r="AI362" i="1" s="1"/>
  <c r="U362" i="1"/>
  <c r="AJ362" i="1" s="1"/>
  <c r="V362" i="1"/>
  <c r="AK362" i="1" s="1"/>
  <c r="W362" i="1"/>
  <c r="AL362" i="1" s="1"/>
  <c r="X362" i="1"/>
  <c r="AM362" i="1" s="1"/>
  <c r="Y362" i="1"/>
  <c r="AN362" i="1" s="1"/>
  <c r="S363" i="1"/>
  <c r="AH363" i="1" s="1"/>
  <c r="T363" i="1"/>
  <c r="AI363" i="1" s="1"/>
  <c r="U363" i="1"/>
  <c r="AJ363" i="1" s="1"/>
  <c r="V363" i="1"/>
  <c r="AK363" i="1" s="1"/>
  <c r="W363" i="1"/>
  <c r="AL363" i="1" s="1"/>
  <c r="X363" i="1"/>
  <c r="AM363" i="1" s="1"/>
  <c r="Y363" i="1"/>
  <c r="AN363" i="1" s="1"/>
  <c r="S364" i="1"/>
  <c r="AH364" i="1" s="1"/>
  <c r="T364" i="1"/>
  <c r="AI364" i="1" s="1"/>
  <c r="U364" i="1"/>
  <c r="AJ364" i="1" s="1"/>
  <c r="V364" i="1"/>
  <c r="AK364" i="1" s="1"/>
  <c r="W364" i="1"/>
  <c r="AL364" i="1" s="1"/>
  <c r="X364" i="1"/>
  <c r="AM364" i="1" s="1"/>
  <c r="Y364" i="1"/>
  <c r="AN364" i="1" s="1"/>
  <c r="S365" i="1"/>
  <c r="AH365" i="1" s="1"/>
  <c r="T365" i="1"/>
  <c r="AI365" i="1" s="1"/>
  <c r="U365" i="1"/>
  <c r="AJ365" i="1" s="1"/>
  <c r="V365" i="1"/>
  <c r="AK365" i="1" s="1"/>
  <c r="D436" i="1"/>
  <c r="AG1" i="1" s="1"/>
  <c r="E436" i="1"/>
  <c r="AH1" i="1" s="1"/>
  <c r="F436" i="1"/>
  <c r="AI1" i="1" s="1"/>
  <c r="G436" i="1"/>
  <c r="AJ1" i="1" s="1"/>
  <c r="H436" i="1"/>
  <c r="AK1" i="1" s="1"/>
  <c r="I436" i="1"/>
  <c r="AL1" i="1" s="1"/>
  <c r="J436" i="1"/>
  <c r="AM1" i="1" s="1"/>
  <c r="K436" i="1"/>
  <c r="AN1" i="1" s="1"/>
  <c r="L436" i="1"/>
  <c r="AO1" i="1" s="1"/>
  <c r="M436" i="1"/>
  <c r="AP1" i="1" s="1"/>
  <c r="N436" i="1"/>
  <c r="AQ1" i="1" s="1"/>
  <c r="O436" i="1"/>
  <c r="AR1" i="1" s="1"/>
  <c r="C436" i="1"/>
  <c r="AF1" i="1" s="1"/>
  <c r="Z3" i="1"/>
  <c r="AO3" i="1" s="1"/>
  <c r="AA3" i="1"/>
  <c r="AP3" i="1" s="1"/>
  <c r="AB3" i="1"/>
  <c r="AQ3" i="1" s="1"/>
  <c r="AC3" i="1"/>
  <c r="AR3" i="1" s="1"/>
  <c r="Z4" i="1"/>
  <c r="AO4" i="1" s="1"/>
  <c r="AA4" i="1"/>
  <c r="AP4" i="1" s="1"/>
  <c r="AB4" i="1"/>
  <c r="AQ4" i="1" s="1"/>
  <c r="AC4" i="1"/>
  <c r="AR4" i="1" s="1"/>
  <c r="Z5" i="1"/>
  <c r="AO5" i="1" s="1"/>
  <c r="AA5" i="1"/>
  <c r="AP5" i="1" s="1"/>
  <c r="AB5" i="1"/>
  <c r="AQ5" i="1" s="1"/>
  <c r="AC5" i="1"/>
  <c r="AR5" i="1" s="1"/>
  <c r="Z6" i="1"/>
  <c r="AO6" i="1" s="1"/>
  <c r="AA6" i="1"/>
  <c r="AP6" i="1" s="1"/>
  <c r="AB6" i="1"/>
  <c r="AQ6" i="1" s="1"/>
  <c r="AC6" i="1"/>
  <c r="AR6" i="1" s="1"/>
  <c r="Z7" i="1"/>
  <c r="AO7" i="1" s="1"/>
  <c r="AA7" i="1"/>
  <c r="AP7" i="1" s="1"/>
  <c r="AB7" i="1"/>
  <c r="AQ7" i="1" s="1"/>
  <c r="AC7" i="1"/>
  <c r="AR7" i="1" s="1"/>
  <c r="Z8" i="1"/>
  <c r="AO8" i="1" s="1"/>
  <c r="AA8" i="1"/>
  <c r="AP8" i="1" s="1"/>
  <c r="AB8" i="1"/>
  <c r="AQ8" i="1" s="1"/>
  <c r="AC8" i="1"/>
  <c r="AR8" i="1" s="1"/>
  <c r="Z9" i="1"/>
  <c r="AO9" i="1" s="1"/>
  <c r="AA9" i="1"/>
  <c r="AP9" i="1" s="1"/>
  <c r="AB9" i="1"/>
  <c r="AQ9" i="1" s="1"/>
  <c r="AC9" i="1"/>
  <c r="AR9" i="1" s="1"/>
  <c r="Z10" i="1"/>
  <c r="AO10" i="1" s="1"/>
  <c r="AA10" i="1"/>
  <c r="AP10" i="1" s="1"/>
  <c r="AB10" i="1"/>
  <c r="AQ10" i="1" s="1"/>
  <c r="AC10" i="1"/>
  <c r="AR10" i="1" s="1"/>
  <c r="Z11" i="1"/>
  <c r="AO11" i="1" s="1"/>
  <c r="AA11" i="1"/>
  <c r="AP11" i="1" s="1"/>
  <c r="AB11" i="1"/>
  <c r="AQ11" i="1" s="1"/>
  <c r="AC11" i="1"/>
  <c r="AR11" i="1" s="1"/>
  <c r="Z12" i="1"/>
  <c r="AO12" i="1" s="1"/>
  <c r="AA12" i="1"/>
  <c r="AP12" i="1" s="1"/>
  <c r="AB12" i="1"/>
  <c r="AQ12" i="1" s="1"/>
  <c r="AC12" i="1"/>
  <c r="AR12" i="1" s="1"/>
  <c r="Z13" i="1"/>
  <c r="AO13" i="1" s="1"/>
  <c r="AA13" i="1"/>
  <c r="AP13" i="1" s="1"/>
  <c r="AB13" i="1"/>
  <c r="AQ13" i="1" s="1"/>
  <c r="AC13" i="1"/>
  <c r="AR13" i="1" s="1"/>
  <c r="Z14" i="1"/>
  <c r="AO14" i="1" s="1"/>
  <c r="AA14" i="1"/>
  <c r="AP14" i="1" s="1"/>
  <c r="AB14" i="1"/>
  <c r="AQ14" i="1" s="1"/>
  <c r="AC14" i="1"/>
  <c r="AR14" i="1" s="1"/>
  <c r="Z15" i="1"/>
  <c r="AO15" i="1" s="1"/>
  <c r="AA15" i="1"/>
  <c r="AP15" i="1" s="1"/>
  <c r="AB15" i="1"/>
  <c r="AQ15" i="1" s="1"/>
  <c r="AC15" i="1"/>
  <c r="AR15" i="1" s="1"/>
  <c r="Z16" i="1"/>
  <c r="AO16" i="1" s="1"/>
  <c r="AA16" i="1"/>
  <c r="AP16" i="1" s="1"/>
  <c r="AB16" i="1"/>
  <c r="AQ16" i="1" s="1"/>
  <c r="AC16" i="1"/>
  <c r="AR16" i="1" s="1"/>
  <c r="Z17" i="1"/>
  <c r="AO17" i="1" s="1"/>
  <c r="AA17" i="1"/>
  <c r="AP17" i="1" s="1"/>
  <c r="AB17" i="1"/>
  <c r="AQ17" i="1" s="1"/>
  <c r="AC17" i="1"/>
  <c r="AR17" i="1" s="1"/>
  <c r="Z18" i="1"/>
  <c r="AO18" i="1" s="1"/>
  <c r="AA18" i="1"/>
  <c r="AP18" i="1" s="1"/>
  <c r="AB18" i="1"/>
  <c r="AQ18" i="1" s="1"/>
  <c r="AC18" i="1"/>
  <c r="AR18" i="1" s="1"/>
  <c r="Z19" i="1"/>
  <c r="AO19" i="1" s="1"/>
  <c r="AA19" i="1"/>
  <c r="AP19" i="1" s="1"/>
  <c r="AB19" i="1"/>
  <c r="AQ19" i="1" s="1"/>
  <c r="AC19" i="1"/>
  <c r="AR19" i="1" s="1"/>
  <c r="Z20" i="1"/>
  <c r="AO20" i="1" s="1"/>
  <c r="AA20" i="1"/>
  <c r="AP20" i="1" s="1"/>
  <c r="AB20" i="1"/>
  <c r="AQ20" i="1" s="1"/>
  <c r="AC20" i="1"/>
  <c r="AR20" i="1" s="1"/>
  <c r="Z21" i="1"/>
  <c r="AO21" i="1" s="1"/>
  <c r="AA21" i="1"/>
  <c r="AP21" i="1" s="1"/>
  <c r="AB21" i="1"/>
  <c r="AQ21" i="1" s="1"/>
  <c r="AC21" i="1"/>
  <c r="AR21" i="1" s="1"/>
  <c r="Z22" i="1"/>
  <c r="AO22" i="1" s="1"/>
  <c r="AA22" i="1"/>
  <c r="AP22" i="1" s="1"/>
  <c r="AB22" i="1"/>
  <c r="AQ22" i="1" s="1"/>
  <c r="AC22" i="1"/>
  <c r="AR22" i="1" s="1"/>
  <c r="Z23" i="1"/>
  <c r="AO23" i="1" s="1"/>
  <c r="AA23" i="1"/>
  <c r="AP23" i="1" s="1"/>
  <c r="AB23" i="1"/>
  <c r="AQ23" i="1" s="1"/>
  <c r="AC23" i="1"/>
  <c r="AR23" i="1" s="1"/>
  <c r="Z24" i="1"/>
  <c r="AO24" i="1" s="1"/>
  <c r="AA24" i="1"/>
  <c r="AP24" i="1" s="1"/>
  <c r="AB24" i="1"/>
  <c r="AQ24" i="1" s="1"/>
  <c r="AC24" i="1"/>
  <c r="AR24" i="1" s="1"/>
  <c r="Z25" i="1"/>
  <c r="AO25" i="1" s="1"/>
  <c r="AA25" i="1"/>
  <c r="AP25" i="1" s="1"/>
  <c r="AB25" i="1"/>
  <c r="AQ25" i="1" s="1"/>
  <c r="AC25" i="1"/>
  <c r="AR25" i="1" s="1"/>
  <c r="Z26" i="1"/>
  <c r="AO26" i="1" s="1"/>
  <c r="AA26" i="1"/>
  <c r="AP26" i="1" s="1"/>
  <c r="AB26" i="1"/>
  <c r="AQ26" i="1" s="1"/>
  <c r="AC26" i="1"/>
  <c r="AR26" i="1" s="1"/>
  <c r="Z27" i="1"/>
  <c r="AO27" i="1" s="1"/>
  <c r="AA27" i="1"/>
  <c r="AP27" i="1" s="1"/>
  <c r="AB27" i="1"/>
  <c r="AQ27" i="1" s="1"/>
  <c r="AC27" i="1"/>
  <c r="AR27" i="1" s="1"/>
  <c r="Z28" i="1"/>
  <c r="AO28" i="1" s="1"/>
  <c r="AA28" i="1"/>
  <c r="AP28" i="1" s="1"/>
  <c r="AB28" i="1"/>
  <c r="AQ28" i="1" s="1"/>
  <c r="AC28" i="1"/>
  <c r="AR28" i="1" s="1"/>
  <c r="Z29" i="1"/>
  <c r="AO29" i="1" s="1"/>
  <c r="AA29" i="1"/>
  <c r="AP29" i="1" s="1"/>
  <c r="AB29" i="1"/>
  <c r="AQ29" i="1" s="1"/>
  <c r="AC29" i="1"/>
  <c r="AR29" i="1" s="1"/>
  <c r="Z30" i="1"/>
  <c r="AO30" i="1" s="1"/>
  <c r="AA30" i="1"/>
  <c r="AP30" i="1" s="1"/>
  <c r="AB30" i="1"/>
  <c r="AQ30" i="1" s="1"/>
  <c r="AC30" i="1"/>
  <c r="AR30" i="1" s="1"/>
  <c r="Z31" i="1"/>
  <c r="AO31" i="1" s="1"/>
  <c r="AA31" i="1"/>
  <c r="AP31" i="1" s="1"/>
  <c r="AB31" i="1"/>
  <c r="AQ31" i="1" s="1"/>
  <c r="AC31" i="1"/>
  <c r="AR31" i="1" s="1"/>
  <c r="Z32" i="1"/>
  <c r="AO32" i="1" s="1"/>
  <c r="AA32" i="1"/>
  <c r="AP32" i="1" s="1"/>
  <c r="AB32" i="1"/>
  <c r="AQ32" i="1" s="1"/>
  <c r="AC32" i="1"/>
  <c r="AR32" i="1" s="1"/>
  <c r="Z33" i="1"/>
  <c r="AO33" i="1" s="1"/>
  <c r="AA33" i="1"/>
  <c r="AP33" i="1" s="1"/>
  <c r="AB33" i="1"/>
  <c r="AQ33" i="1" s="1"/>
  <c r="AC33" i="1"/>
  <c r="AR33" i="1" s="1"/>
  <c r="Z34" i="1"/>
  <c r="AO34" i="1" s="1"/>
  <c r="AA34" i="1"/>
  <c r="AP34" i="1" s="1"/>
  <c r="AB34" i="1"/>
  <c r="AQ34" i="1" s="1"/>
  <c r="AC34" i="1"/>
  <c r="AR34" i="1" s="1"/>
  <c r="Z35" i="1"/>
  <c r="AO35" i="1" s="1"/>
  <c r="AA35" i="1"/>
  <c r="AP35" i="1" s="1"/>
  <c r="AB35" i="1"/>
  <c r="AQ35" i="1" s="1"/>
  <c r="AC35" i="1"/>
  <c r="AR35" i="1" s="1"/>
  <c r="Z36" i="1"/>
  <c r="AO36" i="1" s="1"/>
  <c r="AA36" i="1"/>
  <c r="AP36" i="1" s="1"/>
  <c r="AB36" i="1"/>
  <c r="AQ36" i="1" s="1"/>
  <c r="AC36" i="1"/>
  <c r="AR36" i="1" s="1"/>
  <c r="Z37" i="1"/>
  <c r="AO37" i="1" s="1"/>
  <c r="AA37" i="1"/>
  <c r="AP37" i="1" s="1"/>
  <c r="AB37" i="1"/>
  <c r="AQ37" i="1" s="1"/>
  <c r="AC37" i="1"/>
  <c r="AR37" i="1" s="1"/>
  <c r="Z38" i="1"/>
  <c r="AO38" i="1" s="1"/>
  <c r="AA38" i="1"/>
  <c r="AP38" i="1" s="1"/>
  <c r="AB38" i="1"/>
  <c r="AQ38" i="1" s="1"/>
  <c r="AC38" i="1"/>
  <c r="AR38" i="1" s="1"/>
  <c r="Z39" i="1"/>
  <c r="AO39" i="1" s="1"/>
  <c r="AA39" i="1"/>
  <c r="AP39" i="1" s="1"/>
  <c r="AB39" i="1"/>
  <c r="AQ39" i="1" s="1"/>
  <c r="AC39" i="1"/>
  <c r="AR39" i="1" s="1"/>
  <c r="Z40" i="1"/>
  <c r="AO40" i="1" s="1"/>
  <c r="AA40" i="1"/>
  <c r="AP40" i="1" s="1"/>
  <c r="AB40" i="1"/>
  <c r="AQ40" i="1" s="1"/>
  <c r="AC40" i="1"/>
  <c r="AR40" i="1" s="1"/>
  <c r="Z41" i="1"/>
  <c r="AO41" i="1" s="1"/>
  <c r="AA41" i="1"/>
  <c r="AP41" i="1" s="1"/>
  <c r="AB41" i="1"/>
  <c r="AQ41" i="1" s="1"/>
  <c r="AC41" i="1"/>
  <c r="AR41" i="1" s="1"/>
  <c r="Z42" i="1"/>
  <c r="AO42" i="1" s="1"/>
  <c r="AA42" i="1"/>
  <c r="AP42" i="1" s="1"/>
  <c r="AB42" i="1"/>
  <c r="AQ42" i="1" s="1"/>
  <c r="AC42" i="1"/>
  <c r="AR42" i="1" s="1"/>
  <c r="Z43" i="1"/>
  <c r="AO43" i="1" s="1"/>
  <c r="AA43" i="1"/>
  <c r="AP43" i="1" s="1"/>
  <c r="AB43" i="1"/>
  <c r="AQ43" i="1" s="1"/>
  <c r="AC43" i="1"/>
  <c r="AR43" i="1" s="1"/>
  <c r="Z44" i="1"/>
  <c r="AO44" i="1" s="1"/>
  <c r="AA44" i="1"/>
  <c r="AP44" i="1" s="1"/>
  <c r="AB44" i="1"/>
  <c r="AQ44" i="1" s="1"/>
  <c r="AC44" i="1"/>
  <c r="AR44" i="1" s="1"/>
  <c r="Z45" i="1"/>
  <c r="AO45" i="1" s="1"/>
  <c r="AA45" i="1"/>
  <c r="AP45" i="1" s="1"/>
  <c r="AB45" i="1"/>
  <c r="AQ45" i="1" s="1"/>
  <c r="AC45" i="1"/>
  <c r="AR45" i="1" s="1"/>
  <c r="Z46" i="1"/>
  <c r="AO46" i="1" s="1"/>
  <c r="AA46" i="1"/>
  <c r="AP46" i="1" s="1"/>
  <c r="AB46" i="1"/>
  <c r="AQ46" i="1" s="1"/>
  <c r="AC46" i="1"/>
  <c r="AR46" i="1" s="1"/>
  <c r="Z47" i="1"/>
  <c r="AO47" i="1" s="1"/>
  <c r="AA47" i="1"/>
  <c r="AP47" i="1" s="1"/>
  <c r="AB47" i="1"/>
  <c r="AQ47" i="1" s="1"/>
  <c r="AC47" i="1"/>
  <c r="AR47" i="1" s="1"/>
  <c r="Z48" i="1"/>
  <c r="AO48" i="1" s="1"/>
  <c r="AA48" i="1"/>
  <c r="AP48" i="1" s="1"/>
  <c r="AB48" i="1"/>
  <c r="AQ48" i="1" s="1"/>
  <c r="AC48" i="1"/>
  <c r="AR48" i="1" s="1"/>
  <c r="Z49" i="1"/>
  <c r="AO49" i="1" s="1"/>
  <c r="AA49" i="1"/>
  <c r="AP49" i="1" s="1"/>
  <c r="AB49" i="1"/>
  <c r="AQ49" i="1" s="1"/>
  <c r="AC49" i="1"/>
  <c r="AR49" i="1" s="1"/>
  <c r="Z50" i="1"/>
  <c r="AO50" i="1" s="1"/>
  <c r="AA50" i="1"/>
  <c r="AP50" i="1" s="1"/>
  <c r="AB50" i="1"/>
  <c r="AQ50" i="1" s="1"/>
  <c r="AC50" i="1"/>
  <c r="AR50" i="1" s="1"/>
  <c r="Z51" i="1"/>
  <c r="AO51" i="1" s="1"/>
  <c r="AA51" i="1"/>
  <c r="AP51" i="1" s="1"/>
  <c r="AB51" i="1"/>
  <c r="AQ51" i="1" s="1"/>
  <c r="AC51" i="1"/>
  <c r="AR51" i="1" s="1"/>
  <c r="Z52" i="1"/>
  <c r="AO52" i="1" s="1"/>
  <c r="AA52" i="1"/>
  <c r="AP52" i="1" s="1"/>
  <c r="AB52" i="1"/>
  <c r="AQ52" i="1" s="1"/>
  <c r="AC52" i="1"/>
  <c r="AR52" i="1" s="1"/>
  <c r="Z53" i="1"/>
  <c r="AO53" i="1" s="1"/>
  <c r="AA53" i="1"/>
  <c r="AP53" i="1" s="1"/>
  <c r="AB53" i="1"/>
  <c r="AQ53" i="1" s="1"/>
  <c r="AC53" i="1"/>
  <c r="AR53" i="1" s="1"/>
  <c r="Z54" i="1"/>
  <c r="AO54" i="1" s="1"/>
  <c r="AA54" i="1"/>
  <c r="AP54" i="1" s="1"/>
  <c r="AB54" i="1"/>
  <c r="AQ54" i="1" s="1"/>
  <c r="AC54" i="1"/>
  <c r="AR54" i="1" s="1"/>
  <c r="Z55" i="1"/>
  <c r="AO55" i="1" s="1"/>
  <c r="AA55" i="1"/>
  <c r="AP55" i="1" s="1"/>
  <c r="AB55" i="1"/>
  <c r="AQ55" i="1" s="1"/>
  <c r="AC55" i="1"/>
  <c r="AR55" i="1" s="1"/>
  <c r="Z56" i="1"/>
  <c r="AO56" i="1" s="1"/>
  <c r="AA56" i="1"/>
  <c r="AP56" i="1" s="1"/>
  <c r="AB56" i="1"/>
  <c r="AQ56" i="1" s="1"/>
  <c r="AC56" i="1"/>
  <c r="AR56" i="1" s="1"/>
  <c r="Z57" i="1"/>
  <c r="AO57" i="1" s="1"/>
  <c r="AA57" i="1"/>
  <c r="AP57" i="1" s="1"/>
  <c r="AB57" i="1"/>
  <c r="AQ57" i="1" s="1"/>
  <c r="AC57" i="1"/>
  <c r="AR57" i="1" s="1"/>
  <c r="Z58" i="1"/>
  <c r="AO58" i="1" s="1"/>
  <c r="AA58" i="1"/>
  <c r="AP58" i="1" s="1"/>
  <c r="AB58" i="1"/>
  <c r="AQ58" i="1" s="1"/>
  <c r="AC58" i="1"/>
  <c r="AR58" i="1" s="1"/>
  <c r="Z59" i="1"/>
  <c r="AO59" i="1" s="1"/>
  <c r="AA59" i="1"/>
  <c r="AP59" i="1" s="1"/>
  <c r="AB59" i="1"/>
  <c r="AQ59" i="1" s="1"/>
  <c r="AC59" i="1"/>
  <c r="AR59" i="1" s="1"/>
  <c r="Z60" i="1"/>
  <c r="AO60" i="1" s="1"/>
  <c r="AA60" i="1"/>
  <c r="AP60" i="1" s="1"/>
  <c r="AB60" i="1"/>
  <c r="AQ60" i="1" s="1"/>
  <c r="AC60" i="1"/>
  <c r="AR60" i="1" s="1"/>
  <c r="Z61" i="1"/>
  <c r="AO61" i="1" s="1"/>
  <c r="AA61" i="1"/>
  <c r="AP61" i="1" s="1"/>
  <c r="AB61" i="1"/>
  <c r="AQ61" i="1" s="1"/>
  <c r="AC61" i="1"/>
  <c r="AR61" i="1" s="1"/>
  <c r="Z62" i="1"/>
  <c r="AO62" i="1" s="1"/>
  <c r="AA62" i="1"/>
  <c r="AP62" i="1" s="1"/>
  <c r="AB62" i="1"/>
  <c r="AQ62" i="1" s="1"/>
  <c r="AC62" i="1"/>
  <c r="AR62" i="1" s="1"/>
  <c r="Z63" i="1"/>
  <c r="AO63" i="1" s="1"/>
  <c r="AA63" i="1"/>
  <c r="AP63" i="1" s="1"/>
  <c r="AB63" i="1"/>
  <c r="AQ63" i="1" s="1"/>
  <c r="AC63" i="1"/>
  <c r="AR63" i="1" s="1"/>
  <c r="Z64" i="1"/>
  <c r="AO64" i="1" s="1"/>
  <c r="AA64" i="1"/>
  <c r="AP64" i="1" s="1"/>
  <c r="AB64" i="1"/>
  <c r="AQ64" i="1" s="1"/>
  <c r="AC64" i="1"/>
  <c r="AR64" i="1" s="1"/>
  <c r="Z65" i="1"/>
  <c r="AO65" i="1" s="1"/>
  <c r="AA65" i="1"/>
  <c r="AP65" i="1" s="1"/>
  <c r="AB65" i="1"/>
  <c r="AQ65" i="1" s="1"/>
  <c r="AC65" i="1"/>
  <c r="AR65" i="1" s="1"/>
  <c r="Z66" i="1"/>
  <c r="AO66" i="1" s="1"/>
  <c r="AA66" i="1"/>
  <c r="AP66" i="1" s="1"/>
  <c r="AB66" i="1"/>
  <c r="AQ66" i="1" s="1"/>
  <c r="AC66" i="1"/>
  <c r="AR66" i="1" s="1"/>
  <c r="Z67" i="1"/>
  <c r="AO67" i="1" s="1"/>
  <c r="AA67" i="1"/>
  <c r="AP67" i="1" s="1"/>
  <c r="AB67" i="1"/>
  <c r="AQ67" i="1" s="1"/>
  <c r="AC67" i="1"/>
  <c r="AR67" i="1" s="1"/>
  <c r="Z68" i="1"/>
  <c r="AO68" i="1" s="1"/>
  <c r="AA68" i="1"/>
  <c r="AP68" i="1" s="1"/>
  <c r="AB68" i="1"/>
  <c r="AQ68" i="1" s="1"/>
  <c r="AC68" i="1"/>
  <c r="AR68" i="1" s="1"/>
  <c r="Z69" i="1"/>
  <c r="AO69" i="1" s="1"/>
  <c r="AA69" i="1"/>
  <c r="AP69" i="1" s="1"/>
  <c r="AB69" i="1"/>
  <c r="AQ69" i="1" s="1"/>
  <c r="AC69" i="1"/>
  <c r="AR69" i="1" s="1"/>
  <c r="Z70" i="1"/>
  <c r="AO70" i="1" s="1"/>
  <c r="AA70" i="1"/>
  <c r="AP70" i="1" s="1"/>
  <c r="AB70" i="1"/>
  <c r="AQ70" i="1" s="1"/>
  <c r="AC70" i="1"/>
  <c r="AR70" i="1" s="1"/>
  <c r="Z71" i="1"/>
  <c r="AO71" i="1" s="1"/>
  <c r="AA71" i="1"/>
  <c r="AP71" i="1" s="1"/>
  <c r="AB71" i="1"/>
  <c r="AQ71" i="1" s="1"/>
  <c r="AC71" i="1"/>
  <c r="AR71" i="1" s="1"/>
  <c r="Z72" i="1"/>
  <c r="AO72" i="1" s="1"/>
  <c r="AA72" i="1"/>
  <c r="AP72" i="1" s="1"/>
  <c r="AB72" i="1"/>
  <c r="AQ72" i="1" s="1"/>
  <c r="AC72" i="1"/>
  <c r="AR72" i="1" s="1"/>
  <c r="Z73" i="1"/>
  <c r="AO73" i="1" s="1"/>
  <c r="AA73" i="1"/>
  <c r="AP73" i="1" s="1"/>
  <c r="AB73" i="1"/>
  <c r="AQ73" i="1" s="1"/>
  <c r="AC73" i="1"/>
  <c r="AR73" i="1" s="1"/>
  <c r="Z74" i="1"/>
  <c r="AO74" i="1" s="1"/>
  <c r="AA74" i="1"/>
  <c r="AP74" i="1" s="1"/>
  <c r="AB74" i="1"/>
  <c r="AQ74" i="1" s="1"/>
  <c r="AC74" i="1"/>
  <c r="AR74" i="1" s="1"/>
  <c r="Z75" i="1"/>
  <c r="AO75" i="1" s="1"/>
  <c r="AA75" i="1"/>
  <c r="AP75" i="1" s="1"/>
  <c r="AB75" i="1"/>
  <c r="AQ75" i="1" s="1"/>
  <c r="AC75" i="1"/>
  <c r="AR75" i="1" s="1"/>
  <c r="Z76" i="1"/>
  <c r="AO76" i="1" s="1"/>
  <c r="AA76" i="1"/>
  <c r="AP76" i="1" s="1"/>
  <c r="AB76" i="1"/>
  <c r="AQ76" i="1" s="1"/>
  <c r="AC76" i="1"/>
  <c r="AR76" i="1" s="1"/>
  <c r="Z77" i="1"/>
  <c r="AO77" i="1" s="1"/>
  <c r="AA77" i="1"/>
  <c r="AP77" i="1" s="1"/>
  <c r="AB77" i="1"/>
  <c r="AQ77" i="1" s="1"/>
  <c r="AC77" i="1"/>
  <c r="AR77" i="1" s="1"/>
  <c r="Z78" i="1"/>
  <c r="AO78" i="1" s="1"/>
  <c r="AA78" i="1"/>
  <c r="AP78" i="1" s="1"/>
  <c r="AB78" i="1"/>
  <c r="AQ78" i="1" s="1"/>
  <c r="AC78" i="1"/>
  <c r="AR78" i="1" s="1"/>
  <c r="Z79" i="1"/>
  <c r="AO79" i="1" s="1"/>
  <c r="AA79" i="1"/>
  <c r="AP79" i="1" s="1"/>
  <c r="AB79" i="1"/>
  <c r="AQ79" i="1" s="1"/>
  <c r="AC79" i="1"/>
  <c r="AR79" i="1" s="1"/>
  <c r="Z80" i="1"/>
  <c r="AO80" i="1" s="1"/>
  <c r="AA80" i="1"/>
  <c r="AP80" i="1" s="1"/>
  <c r="AB80" i="1"/>
  <c r="AQ80" i="1" s="1"/>
  <c r="AC80" i="1"/>
  <c r="AR80" i="1" s="1"/>
  <c r="Z81" i="1"/>
  <c r="AO81" i="1" s="1"/>
  <c r="AA81" i="1"/>
  <c r="AP81" i="1" s="1"/>
  <c r="AB81" i="1"/>
  <c r="AQ81" i="1" s="1"/>
  <c r="AC81" i="1"/>
  <c r="AR81" i="1" s="1"/>
  <c r="Z82" i="1"/>
  <c r="AO82" i="1" s="1"/>
  <c r="AA82" i="1"/>
  <c r="AP82" i="1" s="1"/>
  <c r="AB82" i="1"/>
  <c r="AQ82" i="1" s="1"/>
  <c r="AC82" i="1"/>
  <c r="AR82" i="1" s="1"/>
  <c r="Z83" i="1"/>
  <c r="AO83" i="1" s="1"/>
  <c r="AA83" i="1"/>
  <c r="AP83" i="1" s="1"/>
  <c r="AB83" i="1"/>
  <c r="AQ83" i="1" s="1"/>
  <c r="AC83" i="1"/>
  <c r="AR83" i="1" s="1"/>
  <c r="Z84" i="1"/>
  <c r="AO84" i="1" s="1"/>
  <c r="AA84" i="1"/>
  <c r="AP84" i="1" s="1"/>
  <c r="AB84" i="1"/>
  <c r="AQ84" i="1" s="1"/>
  <c r="AC84" i="1"/>
  <c r="AR84" i="1" s="1"/>
  <c r="Z85" i="1"/>
  <c r="AO85" i="1" s="1"/>
  <c r="AA85" i="1"/>
  <c r="AP85" i="1" s="1"/>
  <c r="AB85" i="1"/>
  <c r="AQ85" i="1" s="1"/>
  <c r="AC85" i="1"/>
  <c r="AR85" i="1" s="1"/>
  <c r="Z86" i="1"/>
  <c r="AO86" i="1" s="1"/>
  <c r="AA86" i="1"/>
  <c r="AP86" i="1" s="1"/>
  <c r="AB86" i="1"/>
  <c r="AQ86" i="1" s="1"/>
  <c r="AC86" i="1"/>
  <c r="AR86" i="1" s="1"/>
  <c r="Z87" i="1"/>
  <c r="AO87" i="1" s="1"/>
  <c r="AA87" i="1"/>
  <c r="AP87" i="1" s="1"/>
  <c r="AB87" i="1"/>
  <c r="AQ87" i="1" s="1"/>
  <c r="AC87" i="1"/>
  <c r="AR87" i="1" s="1"/>
  <c r="Z88" i="1"/>
  <c r="AO88" i="1" s="1"/>
  <c r="AA88" i="1"/>
  <c r="AP88" i="1" s="1"/>
  <c r="AB88" i="1"/>
  <c r="AQ88" i="1" s="1"/>
  <c r="AC88" i="1"/>
  <c r="AR88" i="1" s="1"/>
  <c r="Z89" i="1"/>
  <c r="AO89" i="1" s="1"/>
  <c r="AA89" i="1"/>
  <c r="AP89" i="1" s="1"/>
  <c r="AB89" i="1"/>
  <c r="AQ89" i="1" s="1"/>
  <c r="AC89" i="1"/>
  <c r="AR89" i="1" s="1"/>
  <c r="Z90" i="1"/>
  <c r="AO90" i="1" s="1"/>
  <c r="AA90" i="1"/>
  <c r="AP90" i="1" s="1"/>
  <c r="AB90" i="1"/>
  <c r="AQ90" i="1" s="1"/>
  <c r="AC90" i="1"/>
  <c r="AR90" i="1" s="1"/>
  <c r="Z91" i="1"/>
  <c r="AO91" i="1" s="1"/>
  <c r="AA91" i="1"/>
  <c r="AP91" i="1" s="1"/>
  <c r="AB91" i="1"/>
  <c r="AQ91" i="1" s="1"/>
  <c r="AC91" i="1"/>
  <c r="AR91" i="1" s="1"/>
  <c r="Z92" i="1"/>
  <c r="AO92" i="1" s="1"/>
  <c r="AA92" i="1"/>
  <c r="AP92" i="1" s="1"/>
  <c r="AB92" i="1"/>
  <c r="AQ92" i="1" s="1"/>
  <c r="AC92" i="1"/>
  <c r="AR92" i="1" s="1"/>
  <c r="Z93" i="1"/>
  <c r="AO93" i="1" s="1"/>
  <c r="AA93" i="1"/>
  <c r="AP93" i="1" s="1"/>
  <c r="AB93" i="1"/>
  <c r="AQ93" i="1" s="1"/>
  <c r="AC93" i="1"/>
  <c r="AR93" i="1" s="1"/>
  <c r="Z94" i="1"/>
  <c r="AO94" i="1" s="1"/>
  <c r="AA94" i="1"/>
  <c r="AP94" i="1" s="1"/>
  <c r="AB94" i="1"/>
  <c r="AQ94" i="1" s="1"/>
  <c r="AC94" i="1"/>
  <c r="AR94" i="1" s="1"/>
  <c r="Z95" i="1"/>
  <c r="AO95" i="1" s="1"/>
  <c r="AA95" i="1"/>
  <c r="AP95" i="1" s="1"/>
  <c r="AB95" i="1"/>
  <c r="AQ95" i="1" s="1"/>
  <c r="AC95" i="1"/>
  <c r="AR95" i="1" s="1"/>
  <c r="Z96" i="1"/>
  <c r="AO96" i="1" s="1"/>
  <c r="AA96" i="1"/>
  <c r="AP96" i="1" s="1"/>
  <c r="AB96" i="1"/>
  <c r="AQ96" i="1" s="1"/>
  <c r="AC96" i="1"/>
  <c r="AR96" i="1" s="1"/>
  <c r="Z97" i="1"/>
  <c r="AO97" i="1" s="1"/>
  <c r="AA97" i="1"/>
  <c r="AP97" i="1" s="1"/>
  <c r="AB97" i="1"/>
  <c r="AQ97" i="1" s="1"/>
  <c r="AC97" i="1"/>
  <c r="AR97" i="1" s="1"/>
  <c r="Z98" i="1"/>
  <c r="AO98" i="1" s="1"/>
  <c r="AA98" i="1"/>
  <c r="AP98" i="1" s="1"/>
  <c r="AB98" i="1"/>
  <c r="AQ98" i="1" s="1"/>
  <c r="AC98" i="1"/>
  <c r="AR98" i="1" s="1"/>
  <c r="Z99" i="1"/>
  <c r="AO99" i="1" s="1"/>
  <c r="AA99" i="1"/>
  <c r="AP99" i="1" s="1"/>
  <c r="AB99" i="1"/>
  <c r="AQ99" i="1" s="1"/>
  <c r="AC99" i="1"/>
  <c r="AR99" i="1" s="1"/>
  <c r="Z100" i="1"/>
  <c r="AO100" i="1" s="1"/>
  <c r="AA100" i="1"/>
  <c r="AP100" i="1" s="1"/>
  <c r="AB100" i="1"/>
  <c r="AQ100" i="1" s="1"/>
  <c r="AC100" i="1"/>
  <c r="AR100" i="1" s="1"/>
  <c r="Z101" i="1"/>
  <c r="AO101" i="1" s="1"/>
  <c r="AA101" i="1"/>
  <c r="AP101" i="1" s="1"/>
  <c r="AB101" i="1"/>
  <c r="AQ101" i="1" s="1"/>
  <c r="AC101" i="1"/>
  <c r="AR101" i="1" s="1"/>
  <c r="Z102" i="1"/>
  <c r="AO102" i="1" s="1"/>
  <c r="AA102" i="1"/>
  <c r="AP102" i="1" s="1"/>
  <c r="AB102" i="1"/>
  <c r="AQ102" i="1" s="1"/>
  <c r="AC102" i="1"/>
  <c r="AR102" i="1" s="1"/>
  <c r="Z103" i="1"/>
  <c r="AO103" i="1" s="1"/>
  <c r="AA103" i="1"/>
  <c r="AP103" i="1" s="1"/>
  <c r="AB103" i="1"/>
  <c r="AQ103" i="1" s="1"/>
  <c r="AC103" i="1"/>
  <c r="AR103" i="1" s="1"/>
  <c r="Z104" i="1"/>
  <c r="AO104" i="1" s="1"/>
  <c r="AA104" i="1"/>
  <c r="AP104" i="1" s="1"/>
  <c r="AB104" i="1"/>
  <c r="AQ104" i="1" s="1"/>
  <c r="AC104" i="1"/>
  <c r="AR104" i="1" s="1"/>
  <c r="Z105" i="1"/>
  <c r="AO105" i="1" s="1"/>
  <c r="AA105" i="1"/>
  <c r="AP105" i="1" s="1"/>
  <c r="AB105" i="1"/>
  <c r="AQ105" i="1" s="1"/>
  <c r="AC105" i="1"/>
  <c r="AR105" i="1" s="1"/>
  <c r="Z106" i="1"/>
  <c r="AO106" i="1" s="1"/>
  <c r="AA106" i="1"/>
  <c r="AP106" i="1" s="1"/>
  <c r="AB106" i="1"/>
  <c r="AQ106" i="1" s="1"/>
  <c r="AC106" i="1"/>
  <c r="AR106" i="1" s="1"/>
  <c r="Z107" i="1"/>
  <c r="AO107" i="1" s="1"/>
  <c r="AA107" i="1"/>
  <c r="AP107" i="1" s="1"/>
  <c r="AB107" i="1"/>
  <c r="AQ107" i="1" s="1"/>
  <c r="AC107" i="1"/>
  <c r="AR107" i="1" s="1"/>
  <c r="Z108" i="1"/>
  <c r="AO108" i="1" s="1"/>
  <c r="AA108" i="1"/>
  <c r="AP108" i="1" s="1"/>
  <c r="AB108" i="1"/>
  <c r="AQ108" i="1" s="1"/>
  <c r="AC108" i="1"/>
  <c r="AR108" i="1" s="1"/>
  <c r="Z109" i="1"/>
  <c r="AO109" i="1" s="1"/>
  <c r="AA109" i="1"/>
  <c r="AP109" i="1" s="1"/>
  <c r="AB109" i="1"/>
  <c r="AQ109" i="1" s="1"/>
  <c r="AC109" i="1"/>
  <c r="AR109" i="1" s="1"/>
  <c r="Z110" i="1"/>
  <c r="AO110" i="1" s="1"/>
  <c r="AA110" i="1"/>
  <c r="AP110" i="1" s="1"/>
  <c r="AB110" i="1"/>
  <c r="AQ110" i="1" s="1"/>
  <c r="AC110" i="1"/>
  <c r="AR110" i="1" s="1"/>
  <c r="Z111" i="1"/>
  <c r="AO111" i="1" s="1"/>
  <c r="AA111" i="1"/>
  <c r="AP111" i="1" s="1"/>
  <c r="AB111" i="1"/>
  <c r="AQ111" i="1" s="1"/>
  <c r="AC111" i="1"/>
  <c r="AR111" i="1" s="1"/>
  <c r="Z112" i="1"/>
  <c r="AO112" i="1" s="1"/>
  <c r="AA112" i="1"/>
  <c r="AP112" i="1" s="1"/>
  <c r="AB112" i="1"/>
  <c r="AQ112" i="1" s="1"/>
  <c r="AC112" i="1"/>
  <c r="AR112" i="1" s="1"/>
  <c r="Z113" i="1"/>
  <c r="AO113" i="1" s="1"/>
  <c r="AA113" i="1"/>
  <c r="AP113" i="1" s="1"/>
  <c r="AB113" i="1"/>
  <c r="AQ113" i="1" s="1"/>
  <c r="AC113" i="1"/>
  <c r="AR113" i="1" s="1"/>
  <c r="Z114" i="1"/>
  <c r="AO114" i="1" s="1"/>
  <c r="AA114" i="1"/>
  <c r="AP114" i="1" s="1"/>
  <c r="AB114" i="1"/>
  <c r="AQ114" i="1" s="1"/>
  <c r="AC114" i="1"/>
  <c r="AR114" i="1" s="1"/>
  <c r="Z115" i="1"/>
  <c r="AO115" i="1" s="1"/>
  <c r="AA115" i="1"/>
  <c r="AP115" i="1" s="1"/>
  <c r="AB115" i="1"/>
  <c r="AQ115" i="1" s="1"/>
  <c r="AC115" i="1"/>
  <c r="AR115" i="1" s="1"/>
  <c r="Z116" i="1"/>
  <c r="AO116" i="1" s="1"/>
  <c r="AA116" i="1"/>
  <c r="AP116" i="1" s="1"/>
  <c r="AB116" i="1"/>
  <c r="AQ116" i="1" s="1"/>
  <c r="AC116" i="1"/>
  <c r="AR116" i="1" s="1"/>
  <c r="Z117" i="1"/>
  <c r="AO117" i="1" s="1"/>
  <c r="AA117" i="1"/>
  <c r="AP117" i="1" s="1"/>
  <c r="AB117" i="1"/>
  <c r="AQ117" i="1" s="1"/>
  <c r="AC117" i="1"/>
  <c r="AR117" i="1" s="1"/>
  <c r="Z118" i="1"/>
  <c r="AO118" i="1" s="1"/>
  <c r="AA118" i="1"/>
  <c r="AP118" i="1" s="1"/>
  <c r="AB118" i="1"/>
  <c r="AQ118" i="1" s="1"/>
  <c r="AC118" i="1"/>
  <c r="AR118" i="1" s="1"/>
  <c r="Z119" i="1"/>
  <c r="AO119" i="1" s="1"/>
  <c r="AA119" i="1"/>
  <c r="AP119" i="1" s="1"/>
  <c r="AB119" i="1"/>
  <c r="AQ119" i="1" s="1"/>
  <c r="AC119" i="1"/>
  <c r="AR119" i="1" s="1"/>
  <c r="Z120" i="1"/>
  <c r="AO120" i="1" s="1"/>
  <c r="AA120" i="1"/>
  <c r="AP120" i="1" s="1"/>
  <c r="AB120" i="1"/>
  <c r="AQ120" i="1" s="1"/>
  <c r="AC120" i="1"/>
  <c r="AR120" i="1" s="1"/>
  <c r="Z121" i="1"/>
  <c r="AO121" i="1" s="1"/>
  <c r="AA121" i="1"/>
  <c r="AP121" i="1" s="1"/>
  <c r="AB121" i="1"/>
  <c r="AQ121" i="1" s="1"/>
  <c r="AC121" i="1"/>
  <c r="AR121" i="1" s="1"/>
  <c r="Z122" i="1"/>
  <c r="AO122" i="1" s="1"/>
  <c r="AA122" i="1"/>
  <c r="AP122" i="1" s="1"/>
  <c r="AB122" i="1"/>
  <c r="AQ122" i="1" s="1"/>
  <c r="AC122" i="1"/>
  <c r="AR122" i="1" s="1"/>
  <c r="Z123" i="1"/>
  <c r="AO123" i="1" s="1"/>
  <c r="AA123" i="1"/>
  <c r="AP123" i="1" s="1"/>
  <c r="AB123" i="1"/>
  <c r="AQ123" i="1" s="1"/>
  <c r="AC123" i="1"/>
  <c r="AR123" i="1" s="1"/>
  <c r="Z124" i="1"/>
  <c r="AO124" i="1" s="1"/>
  <c r="AA124" i="1"/>
  <c r="AP124" i="1" s="1"/>
  <c r="AB124" i="1"/>
  <c r="AQ124" i="1" s="1"/>
  <c r="AC124" i="1"/>
  <c r="AR124" i="1" s="1"/>
  <c r="Z125" i="1"/>
  <c r="AO125" i="1" s="1"/>
  <c r="AA125" i="1"/>
  <c r="AP125" i="1" s="1"/>
  <c r="AB125" i="1"/>
  <c r="AQ125" i="1" s="1"/>
  <c r="AC125" i="1"/>
  <c r="AR125" i="1" s="1"/>
  <c r="Z126" i="1"/>
  <c r="AO126" i="1" s="1"/>
  <c r="AA126" i="1"/>
  <c r="AP126" i="1" s="1"/>
  <c r="AB126" i="1"/>
  <c r="AQ126" i="1" s="1"/>
  <c r="AC126" i="1"/>
  <c r="AR126" i="1" s="1"/>
  <c r="Z127" i="1"/>
  <c r="AO127" i="1" s="1"/>
  <c r="AA127" i="1"/>
  <c r="AP127" i="1" s="1"/>
  <c r="AB127" i="1"/>
  <c r="AQ127" i="1" s="1"/>
  <c r="AC127" i="1"/>
  <c r="AR127" i="1" s="1"/>
  <c r="Z128" i="1"/>
  <c r="AO128" i="1" s="1"/>
  <c r="AA128" i="1"/>
  <c r="AP128" i="1" s="1"/>
  <c r="AB128" i="1"/>
  <c r="AQ128" i="1" s="1"/>
  <c r="AC128" i="1"/>
  <c r="AR128" i="1" s="1"/>
  <c r="Z129" i="1"/>
  <c r="AO129" i="1" s="1"/>
  <c r="AA129" i="1"/>
  <c r="AP129" i="1" s="1"/>
  <c r="AB129" i="1"/>
  <c r="AQ129" i="1" s="1"/>
  <c r="AC129" i="1"/>
  <c r="AR129" i="1" s="1"/>
  <c r="Z130" i="1"/>
  <c r="AO130" i="1" s="1"/>
  <c r="AA130" i="1"/>
  <c r="AP130" i="1" s="1"/>
  <c r="AB130" i="1"/>
  <c r="AQ130" i="1" s="1"/>
  <c r="AC130" i="1"/>
  <c r="AR130" i="1" s="1"/>
  <c r="Z131" i="1"/>
  <c r="AO131" i="1" s="1"/>
  <c r="AA131" i="1"/>
  <c r="AP131" i="1" s="1"/>
  <c r="AB131" i="1"/>
  <c r="AQ131" i="1" s="1"/>
  <c r="AC131" i="1"/>
  <c r="AR131" i="1" s="1"/>
  <c r="Z132" i="1"/>
  <c r="AO132" i="1" s="1"/>
  <c r="AA132" i="1"/>
  <c r="AP132" i="1" s="1"/>
  <c r="AB132" i="1"/>
  <c r="AQ132" i="1" s="1"/>
  <c r="AC132" i="1"/>
  <c r="AR132" i="1" s="1"/>
  <c r="Z133" i="1"/>
  <c r="AO133" i="1" s="1"/>
  <c r="AA133" i="1"/>
  <c r="AP133" i="1" s="1"/>
  <c r="AB133" i="1"/>
  <c r="AQ133" i="1" s="1"/>
  <c r="AC133" i="1"/>
  <c r="AR133" i="1" s="1"/>
  <c r="Z134" i="1"/>
  <c r="AO134" i="1" s="1"/>
  <c r="AA134" i="1"/>
  <c r="AP134" i="1" s="1"/>
  <c r="AB134" i="1"/>
  <c r="AQ134" i="1" s="1"/>
  <c r="AC134" i="1"/>
  <c r="AR134" i="1" s="1"/>
  <c r="Z135" i="1"/>
  <c r="AO135" i="1" s="1"/>
  <c r="AA135" i="1"/>
  <c r="AP135" i="1" s="1"/>
  <c r="AB135" i="1"/>
  <c r="AQ135" i="1" s="1"/>
  <c r="AC135" i="1"/>
  <c r="AR135" i="1" s="1"/>
  <c r="Z136" i="1"/>
  <c r="AO136" i="1" s="1"/>
  <c r="AA136" i="1"/>
  <c r="AP136" i="1" s="1"/>
  <c r="AB136" i="1"/>
  <c r="AQ136" i="1" s="1"/>
  <c r="AC136" i="1"/>
  <c r="AR136" i="1" s="1"/>
  <c r="Z137" i="1"/>
  <c r="AO137" i="1" s="1"/>
  <c r="AA137" i="1"/>
  <c r="AP137" i="1" s="1"/>
  <c r="AB137" i="1"/>
  <c r="AQ137" i="1" s="1"/>
  <c r="AC137" i="1"/>
  <c r="AR137" i="1" s="1"/>
  <c r="Z138" i="1"/>
  <c r="AO138" i="1" s="1"/>
  <c r="AA138" i="1"/>
  <c r="AP138" i="1" s="1"/>
  <c r="AB138" i="1"/>
  <c r="AQ138" i="1" s="1"/>
  <c r="AC138" i="1"/>
  <c r="AR138" i="1" s="1"/>
  <c r="Z139" i="1"/>
  <c r="AO139" i="1" s="1"/>
  <c r="AA139" i="1"/>
  <c r="AP139" i="1" s="1"/>
  <c r="AB139" i="1"/>
  <c r="AQ139" i="1" s="1"/>
  <c r="AC139" i="1"/>
  <c r="AR139" i="1" s="1"/>
  <c r="Z140" i="1"/>
  <c r="AO140" i="1" s="1"/>
  <c r="AA140" i="1"/>
  <c r="AP140" i="1" s="1"/>
  <c r="AB140" i="1"/>
  <c r="AQ140" i="1" s="1"/>
  <c r="AC140" i="1"/>
  <c r="AR140" i="1" s="1"/>
  <c r="Z141" i="1"/>
  <c r="AO141" i="1" s="1"/>
  <c r="AA141" i="1"/>
  <c r="AP141" i="1" s="1"/>
  <c r="AB141" i="1"/>
  <c r="AQ141" i="1" s="1"/>
  <c r="AC141" i="1"/>
  <c r="AR141" i="1" s="1"/>
  <c r="Z142" i="1"/>
  <c r="AO142" i="1" s="1"/>
  <c r="AA142" i="1"/>
  <c r="AP142" i="1" s="1"/>
  <c r="AB142" i="1"/>
  <c r="AQ142" i="1" s="1"/>
  <c r="AC142" i="1"/>
  <c r="AR142" i="1" s="1"/>
  <c r="Z143" i="1"/>
  <c r="AO143" i="1" s="1"/>
  <c r="AA143" i="1"/>
  <c r="AP143" i="1" s="1"/>
  <c r="AB143" i="1"/>
  <c r="AQ143" i="1" s="1"/>
  <c r="AC143" i="1"/>
  <c r="AR143" i="1" s="1"/>
  <c r="Z144" i="1"/>
  <c r="AO144" i="1" s="1"/>
  <c r="AA144" i="1"/>
  <c r="AP144" i="1" s="1"/>
  <c r="AB144" i="1"/>
  <c r="AQ144" i="1" s="1"/>
  <c r="AC144" i="1"/>
  <c r="AR144" i="1" s="1"/>
  <c r="Z145" i="1"/>
  <c r="AO145" i="1" s="1"/>
  <c r="AA145" i="1"/>
  <c r="AP145" i="1" s="1"/>
  <c r="AB145" i="1"/>
  <c r="AQ145" i="1" s="1"/>
  <c r="AC145" i="1"/>
  <c r="AR145" i="1" s="1"/>
  <c r="Z146" i="1"/>
  <c r="AO146" i="1" s="1"/>
  <c r="AA146" i="1"/>
  <c r="AP146" i="1" s="1"/>
  <c r="AB146" i="1"/>
  <c r="AQ146" i="1" s="1"/>
  <c r="AC146" i="1"/>
  <c r="AR146" i="1" s="1"/>
  <c r="Z147" i="1"/>
  <c r="AO147" i="1" s="1"/>
  <c r="AA147" i="1"/>
  <c r="AP147" i="1" s="1"/>
  <c r="AB147" i="1"/>
  <c r="AQ147" i="1" s="1"/>
  <c r="AC147" i="1"/>
  <c r="AR147" i="1" s="1"/>
  <c r="Z148" i="1"/>
  <c r="AO148" i="1" s="1"/>
  <c r="AA148" i="1"/>
  <c r="AP148" i="1" s="1"/>
  <c r="AB148" i="1"/>
  <c r="AQ148" i="1" s="1"/>
  <c r="AC148" i="1"/>
  <c r="AR148" i="1" s="1"/>
  <c r="Z149" i="1"/>
  <c r="AO149" i="1" s="1"/>
  <c r="AA149" i="1"/>
  <c r="AP149" i="1" s="1"/>
  <c r="AB149" i="1"/>
  <c r="AQ149" i="1" s="1"/>
  <c r="AC149" i="1"/>
  <c r="AR149" i="1" s="1"/>
  <c r="Z150" i="1"/>
  <c r="AO150" i="1" s="1"/>
  <c r="AA150" i="1"/>
  <c r="AP150" i="1" s="1"/>
  <c r="AB150" i="1"/>
  <c r="AQ150" i="1" s="1"/>
  <c r="AC150" i="1"/>
  <c r="AR150" i="1" s="1"/>
  <c r="Z151" i="1"/>
  <c r="AO151" i="1" s="1"/>
  <c r="AA151" i="1"/>
  <c r="AP151" i="1" s="1"/>
  <c r="AB151" i="1"/>
  <c r="AQ151" i="1" s="1"/>
  <c r="AC151" i="1"/>
  <c r="AR151" i="1" s="1"/>
  <c r="Z152" i="1"/>
  <c r="AO152" i="1" s="1"/>
  <c r="AA152" i="1"/>
  <c r="AP152" i="1" s="1"/>
  <c r="AB152" i="1"/>
  <c r="AQ152" i="1" s="1"/>
  <c r="AC152" i="1"/>
  <c r="AR152" i="1" s="1"/>
  <c r="Z153" i="1"/>
  <c r="AO153" i="1" s="1"/>
  <c r="AA153" i="1"/>
  <c r="AP153" i="1" s="1"/>
  <c r="AB153" i="1"/>
  <c r="AQ153" i="1" s="1"/>
  <c r="AC153" i="1"/>
  <c r="AR153" i="1" s="1"/>
  <c r="Z154" i="1"/>
  <c r="AO154" i="1" s="1"/>
  <c r="AA154" i="1"/>
  <c r="AP154" i="1" s="1"/>
  <c r="AB154" i="1"/>
  <c r="AQ154" i="1" s="1"/>
  <c r="AC154" i="1"/>
  <c r="AR154" i="1" s="1"/>
  <c r="Z155" i="1"/>
  <c r="AO155" i="1" s="1"/>
  <c r="AA155" i="1"/>
  <c r="AP155" i="1" s="1"/>
  <c r="AB155" i="1"/>
  <c r="AQ155" i="1" s="1"/>
  <c r="AC155" i="1"/>
  <c r="AR155" i="1" s="1"/>
  <c r="Z156" i="1"/>
  <c r="AO156" i="1" s="1"/>
  <c r="AA156" i="1"/>
  <c r="AP156" i="1" s="1"/>
  <c r="AB156" i="1"/>
  <c r="AQ156" i="1" s="1"/>
  <c r="AC156" i="1"/>
  <c r="AR156" i="1" s="1"/>
  <c r="Z157" i="1"/>
  <c r="AO157" i="1" s="1"/>
  <c r="AA157" i="1"/>
  <c r="AP157" i="1" s="1"/>
  <c r="AB157" i="1"/>
  <c r="AQ157" i="1" s="1"/>
  <c r="AC157" i="1"/>
  <c r="AR157" i="1" s="1"/>
  <c r="Z158" i="1"/>
  <c r="AO158" i="1" s="1"/>
  <c r="AA158" i="1"/>
  <c r="AP158" i="1" s="1"/>
  <c r="AB158" i="1"/>
  <c r="AQ158" i="1" s="1"/>
  <c r="AC158" i="1"/>
  <c r="AR158" i="1" s="1"/>
  <c r="Z159" i="1"/>
  <c r="AO159" i="1" s="1"/>
  <c r="AA159" i="1"/>
  <c r="AP159" i="1" s="1"/>
  <c r="AB159" i="1"/>
  <c r="AQ159" i="1" s="1"/>
  <c r="AC159" i="1"/>
  <c r="AR159" i="1" s="1"/>
  <c r="Z160" i="1"/>
  <c r="AO160" i="1" s="1"/>
  <c r="AA160" i="1"/>
  <c r="AP160" i="1" s="1"/>
  <c r="AB160" i="1"/>
  <c r="AQ160" i="1" s="1"/>
  <c r="AC160" i="1"/>
  <c r="AR160" i="1" s="1"/>
  <c r="Z161" i="1"/>
  <c r="AO161" i="1" s="1"/>
  <c r="AA161" i="1"/>
  <c r="AP161" i="1" s="1"/>
  <c r="AB161" i="1"/>
  <c r="AQ161" i="1" s="1"/>
  <c r="AC161" i="1"/>
  <c r="AR161" i="1" s="1"/>
  <c r="Z162" i="1"/>
  <c r="AO162" i="1" s="1"/>
  <c r="AA162" i="1"/>
  <c r="AP162" i="1" s="1"/>
  <c r="AB162" i="1"/>
  <c r="AQ162" i="1" s="1"/>
  <c r="AC162" i="1"/>
  <c r="AR162" i="1" s="1"/>
  <c r="Z163" i="1"/>
  <c r="AO163" i="1" s="1"/>
  <c r="AA163" i="1"/>
  <c r="AP163" i="1" s="1"/>
  <c r="AB163" i="1"/>
  <c r="AQ163" i="1" s="1"/>
  <c r="AC163" i="1"/>
  <c r="AR163" i="1" s="1"/>
  <c r="Z164" i="1"/>
  <c r="AO164" i="1" s="1"/>
  <c r="AA164" i="1"/>
  <c r="AP164" i="1" s="1"/>
  <c r="AB164" i="1"/>
  <c r="AQ164" i="1" s="1"/>
  <c r="AC164" i="1"/>
  <c r="AR164" i="1" s="1"/>
  <c r="Z165" i="1"/>
  <c r="AO165" i="1" s="1"/>
  <c r="AA165" i="1"/>
  <c r="AP165" i="1" s="1"/>
  <c r="AB165" i="1"/>
  <c r="AQ165" i="1" s="1"/>
  <c r="AC165" i="1"/>
  <c r="AR165" i="1" s="1"/>
  <c r="Z166" i="1"/>
  <c r="AO166" i="1" s="1"/>
  <c r="AA166" i="1"/>
  <c r="AP166" i="1" s="1"/>
  <c r="AB166" i="1"/>
  <c r="AQ166" i="1" s="1"/>
  <c r="AC166" i="1"/>
  <c r="AR166" i="1" s="1"/>
  <c r="Z167" i="1"/>
  <c r="AO167" i="1" s="1"/>
  <c r="AA167" i="1"/>
  <c r="AP167" i="1" s="1"/>
  <c r="AB167" i="1"/>
  <c r="AQ167" i="1" s="1"/>
  <c r="AC167" i="1"/>
  <c r="AR167" i="1" s="1"/>
  <c r="Z168" i="1"/>
  <c r="AO168" i="1" s="1"/>
  <c r="AA168" i="1"/>
  <c r="AP168" i="1" s="1"/>
  <c r="AB168" i="1"/>
  <c r="AQ168" i="1" s="1"/>
  <c r="AC168" i="1"/>
  <c r="AR168" i="1" s="1"/>
  <c r="Z169" i="1"/>
  <c r="AO169" i="1" s="1"/>
  <c r="AA169" i="1"/>
  <c r="AP169" i="1" s="1"/>
  <c r="AB169" i="1"/>
  <c r="AQ169" i="1" s="1"/>
  <c r="AC169" i="1"/>
  <c r="AR169" i="1" s="1"/>
  <c r="Z170" i="1"/>
  <c r="AO170" i="1" s="1"/>
  <c r="AA170" i="1"/>
  <c r="AP170" i="1" s="1"/>
  <c r="AB170" i="1"/>
  <c r="AQ170" i="1" s="1"/>
  <c r="AC170" i="1"/>
  <c r="AR170" i="1" s="1"/>
  <c r="Z171" i="1"/>
  <c r="AO171" i="1" s="1"/>
  <c r="AA171" i="1"/>
  <c r="AP171" i="1" s="1"/>
  <c r="AB171" i="1"/>
  <c r="AQ171" i="1" s="1"/>
  <c r="AC171" i="1"/>
  <c r="AR171" i="1" s="1"/>
  <c r="Z172" i="1"/>
  <c r="AO172" i="1" s="1"/>
  <c r="AA172" i="1"/>
  <c r="AP172" i="1" s="1"/>
  <c r="AB172" i="1"/>
  <c r="AQ172" i="1" s="1"/>
  <c r="AC172" i="1"/>
  <c r="AR172" i="1" s="1"/>
  <c r="Z173" i="1"/>
  <c r="AO173" i="1" s="1"/>
  <c r="AA173" i="1"/>
  <c r="AP173" i="1" s="1"/>
  <c r="AB173" i="1"/>
  <c r="AQ173" i="1" s="1"/>
  <c r="AC173" i="1"/>
  <c r="AR173" i="1" s="1"/>
  <c r="Z174" i="1"/>
  <c r="AO174" i="1" s="1"/>
  <c r="AA174" i="1"/>
  <c r="AP174" i="1" s="1"/>
  <c r="AB174" i="1"/>
  <c r="AQ174" i="1" s="1"/>
  <c r="AC174" i="1"/>
  <c r="AR174" i="1" s="1"/>
  <c r="Z175" i="1"/>
  <c r="AO175" i="1" s="1"/>
  <c r="AA175" i="1"/>
  <c r="AP175" i="1" s="1"/>
  <c r="AB175" i="1"/>
  <c r="AQ175" i="1" s="1"/>
  <c r="AC175" i="1"/>
  <c r="AR175" i="1" s="1"/>
  <c r="Z176" i="1"/>
  <c r="AO176" i="1" s="1"/>
  <c r="AA176" i="1"/>
  <c r="AP176" i="1" s="1"/>
  <c r="AB176" i="1"/>
  <c r="AQ176" i="1" s="1"/>
  <c r="AC176" i="1"/>
  <c r="AR176" i="1" s="1"/>
  <c r="Z177" i="1"/>
  <c r="AO177" i="1" s="1"/>
  <c r="AA177" i="1"/>
  <c r="AP177" i="1" s="1"/>
  <c r="AB177" i="1"/>
  <c r="AQ177" i="1" s="1"/>
  <c r="AC177" i="1"/>
  <c r="AR177" i="1" s="1"/>
  <c r="T211" i="1"/>
  <c r="AI211" i="1" s="1"/>
  <c r="X212" i="1"/>
  <c r="AM212" i="1" s="1"/>
  <c r="S223" i="1"/>
  <c r="AH223" i="1" s="1"/>
  <c r="S226" i="1"/>
  <c r="AH226" i="1" s="1"/>
  <c r="S227" i="1"/>
  <c r="AH227" i="1" s="1"/>
  <c r="S232" i="1"/>
  <c r="AH232" i="1" s="1"/>
  <c r="T233" i="1"/>
  <c r="AI233" i="1" s="1"/>
  <c r="Z178" i="1"/>
  <c r="AO178" i="1" s="1"/>
  <c r="AA178" i="1"/>
  <c r="AP178" i="1" s="1"/>
  <c r="AB178" i="1"/>
  <c r="AQ178" i="1" s="1"/>
  <c r="AC178" i="1"/>
  <c r="AR178" i="1" s="1"/>
  <c r="Z179" i="1"/>
  <c r="AO179" i="1" s="1"/>
  <c r="AA179" i="1"/>
  <c r="AP179" i="1" s="1"/>
  <c r="AB179" i="1"/>
  <c r="AQ179" i="1" s="1"/>
  <c r="AC179" i="1"/>
  <c r="AR179" i="1" s="1"/>
  <c r="Z180" i="1"/>
  <c r="AO180" i="1" s="1"/>
  <c r="AA180" i="1"/>
  <c r="AP180" i="1" s="1"/>
  <c r="AB180" i="1"/>
  <c r="AQ180" i="1" s="1"/>
  <c r="AC180" i="1"/>
  <c r="AR180" i="1" s="1"/>
  <c r="Z181" i="1"/>
  <c r="AO181" i="1" s="1"/>
  <c r="AA181" i="1"/>
  <c r="AP181" i="1" s="1"/>
  <c r="AB181" i="1"/>
  <c r="AQ181" i="1" s="1"/>
  <c r="AC181" i="1"/>
  <c r="AR181" i="1" s="1"/>
  <c r="Z182" i="1"/>
  <c r="AO182" i="1" s="1"/>
  <c r="AA182" i="1"/>
  <c r="AP182" i="1" s="1"/>
  <c r="AB182" i="1"/>
  <c r="AQ182" i="1" s="1"/>
  <c r="AC182" i="1"/>
  <c r="AR182" i="1" s="1"/>
  <c r="Z183" i="1"/>
  <c r="AO183" i="1" s="1"/>
  <c r="AA183" i="1"/>
  <c r="AP183" i="1" s="1"/>
  <c r="AB183" i="1"/>
  <c r="AQ183" i="1" s="1"/>
  <c r="AC183" i="1"/>
  <c r="AR183" i="1" s="1"/>
  <c r="Z184" i="1"/>
  <c r="AO184" i="1" s="1"/>
  <c r="AA184" i="1"/>
  <c r="AP184" i="1" s="1"/>
  <c r="AB184" i="1"/>
  <c r="AQ184" i="1" s="1"/>
  <c r="AC184" i="1"/>
  <c r="AR184" i="1" s="1"/>
  <c r="Z185" i="1"/>
  <c r="AO185" i="1" s="1"/>
  <c r="AA185" i="1"/>
  <c r="AP185" i="1" s="1"/>
  <c r="AB185" i="1"/>
  <c r="AQ185" i="1" s="1"/>
  <c r="AC185" i="1"/>
  <c r="AR185" i="1" s="1"/>
  <c r="Z186" i="1"/>
  <c r="AO186" i="1" s="1"/>
  <c r="AA186" i="1"/>
  <c r="AP186" i="1" s="1"/>
  <c r="AB186" i="1"/>
  <c r="AQ186" i="1" s="1"/>
  <c r="AC186" i="1"/>
  <c r="AR186" i="1" s="1"/>
  <c r="Z187" i="1"/>
  <c r="AO187" i="1" s="1"/>
  <c r="AA187" i="1"/>
  <c r="AP187" i="1" s="1"/>
  <c r="AB187" i="1"/>
  <c r="AQ187" i="1" s="1"/>
  <c r="AC187" i="1"/>
  <c r="AR187" i="1" s="1"/>
  <c r="Z188" i="1"/>
  <c r="AO188" i="1" s="1"/>
  <c r="AA188" i="1"/>
  <c r="AP188" i="1" s="1"/>
  <c r="AB188" i="1"/>
  <c r="AQ188" i="1" s="1"/>
  <c r="AC188" i="1"/>
  <c r="AR188" i="1" s="1"/>
  <c r="Z189" i="1"/>
  <c r="AO189" i="1" s="1"/>
  <c r="AA189" i="1"/>
  <c r="AP189" i="1" s="1"/>
  <c r="AB189" i="1"/>
  <c r="AQ189" i="1" s="1"/>
  <c r="AC189" i="1"/>
  <c r="AR189" i="1" s="1"/>
  <c r="Z190" i="1"/>
  <c r="AO190" i="1" s="1"/>
  <c r="AA190" i="1"/>
  <c r="AP190" i="1" s="1"/>
  <c r="AB190" i="1"/>
  <c r="AQ190" i="1" s="1"/>
  <c r="AC190" i="1"/>
  <c r="AR190" i="1" s="1"/>
  <c r="Z191" i="1"/>
  <c r="AO191" i="1" s="1"/>
  <c r="AA191" i="1"/>
  <c r="AP191" i="1" s="1"/>
  <c r="AB191" i="1"/>
  <c r="AQ191" i="1" s="1"/>
  <c r="AC191" i="1"/>
  <c r="AR191" i="1" s="1"/>
  <c r="Z192" i="1"/>
  <c r="AO192" i="1" s="1"/>
  <c r="AA192" i="1"/>
  <c r="AP192" i="1" s="1"/>
  <c r="AB192" i="1"/>
  <c r="AQ192" i="1" s="1"/>
  <c r="AC192" i="1"/>
  <c r="AR192" i="1" s="1"/>
  <c r="Z193" i="1"/>
  <c r="AO193" i="1" s="1"/>
  <c r="AA193" i="1"/>
  <c r="AP193" i="1" s="1"/>
  <c r="AB193" i="1"/>
  <c r="AQ193" i="1" s="1"/>
  <c r="AC193" i="1"/>
  <c r="AR193" i="1" s="1"/>
  <c r="Z194" i="1"/>
  <c r="AO194" i="1" s="1"/>
  <c r="AA194" i="1"/>
  <c r="AP194" i="1" s="1"/>
  <c r="AB194" i="1"/>
  <c r="AQ194" i="1" s="1"/>
  <c r="AC194" i="1"/>
  <c r="AR194" i="1" s="1"/>
  <c r="Z195" i="1"/>
  <c r="AO195" i="1" s="1"/>
  <c r="AA195" i="1"/>
  <c r="AP195" i="1" s="1"/>
  <c r="AB195" i="1"/>
  <c r="AQ195" i="1" s="1"/>
  <c r="AC195" i="1"/>
  <c r="AR195" i="1" s="1"/>
  <c r="Z196" i="1"/>
  <c r="AO196" i="1" s="1"/>
  <c r="AA196" i="1"/>
  <c r="AP196" i="1" s="1"/>
  <c r="AB196" i="1"/>
  <c r="AQ196" i="1" s="1"/>
  <c r="AC196" i="1"/>
  <c r="AR196" i="1" s="1"/>
  <c r="Z197" i="1"/>
  <c r="AO197" i="1" s="1"/>
  <c r="AA197" i="1"/>
  <c r="AP197" i="1" s="1"/>
  <c r="AB197" i="1"/>
  <c r="AQ197" i="1" s="1"/>
  <c r="AC197" i="1"/>
  <c r="AR197" i="1" s="1"/>
  <c r="Z198" i="1"/>
  <c r="AO198" i="1" s="1"/>
  <c r="AA198" i="1"/>
  <c r="AP198" i="1" s="1"/>
  <c r="AB198" i="1"/>
  <c r="AQ198" i="1" s="1"/>
  <c r="AC198" i="1"/>
  <c r="AR198" i="1" s="1"/>
  <c r="Z199" i="1"/>
  <c r="AO199" i="1" s="1"/>
  <c r="AA199" i="1"/>
  <c r="AP199" i="1" s="1"/>
  <c r="AB199" i="1"/>
  <c r="AQ199" i="1" s="1"/>
  <c r="AC199" i="1"/>
  <c r="AR199" i="1" s="1"/>
  <c r="Z200" i="1"/>
  <c r="AO200" i="1" s="1"/>
  <c r="AA200" i="1"/>
  <c r="AP200" i="1" s="1"/>
  <c r="AB200" i="1"/>
  <c r="AQ200" i="1" s="1"/>
  <c r="AC200" i="1"/>
  <c r="AR200" i="1" s="1"/>
  <c r="Z201" i="1"/>
  <c r="AO201" i="1" s="1"/>
  <c r="AA201" i="1"/>
  <c r="AP201" i="1" s="1"/>
  <c r="AB201" i="1"/>
  <c r="AQ201" i="1" s="1"/>
  <c r="AC201" i="1"/>
  <c r="AR201" i="1" s="1"/>
  <c r="Z202" i="1"/>
  <c r="AO202" i="1" s="1"/>
  <c r="AA202" i="1"/>
  <c r="AP202" i="1" s="1"/>
  <c r="AB202" i="1"/>
  <c r="AQ202" i="1" s="1"/>
  <c r="AC202" i="1"/>
  <c r="AR202" i="1" s="1"/>
  <c r="Z203" i="1"/>
  <c r="AO203" i="1" s="1"/>
  <c r="AA203" i="1"/>
  <c r="AP203" i="1" s="1"/>
  <c r="AB203" i="1"/>
  <c r="AQ203" i="1" s="1"/>
  <c r="AC203" i="1"/>
  <c r="AR203" i="1" s="1"/>
  <c r="Z204" i="1"/>
  <c r="AO204" i="1" s="1"/>
  <c r="AA204" i="1"/>
  <c r="AP204" i="1" s="1"/>
  <c r="AB204" i="1"/>
  <c r="AQ204" i="1" s="1"/>
  <c r="AC204" i="1"/>
  <c r="AR204" i="1" s="1"/>
  <c r="Z205" i="1"/>
  <c r="AO205" i="1" s="1"/>
  <c r="AA205" i="1"/>
  <c r="AP205" i="1" s="1"/>
  <c r="AB205" i="1"/>
  <c r="AQ205" i="1" s="1"/>
  <c r="AC205" i="1"/>
  <c r="AR205" i="1" s="1"/>
  <c r="Z206" i="1"/>
  <c r="AO206" i="1" s="1"/>
  <c r="AA206" i="1"/>
  <c r="AP206" i="1" s="1"/>
  <c r="AB206" i="1"/>
  <c r="AQ206" i="1" s="1"/>
  <c r="AC206" i="1"/>
  <c r="AR206" i="1" s="1"/>
  <c r="Z207" i="1"/>
  <c r="AO207" i="1" s="1"/>
  <c r="AA207" i="1"/>
  <c r="AP207" i="1" s="1"/>
  <c r="AB207" i="1"/>
  <c r="AQ207" i="1" s="1"/>
  <c r="AC207" i="1"/>
  <c r="AR207" i="1" s="1"/>
  <c r="Z208" i="1"/>
  <c r="AO208" i="1" s="1"/>
  <c r="AA208" i="1"/>
  <c r="AP208" i="1" s="1"/>
  <c r="AB208" i="1"/>
  <c r="AQ208" i="1" s="1"/>
  <c r="AC208" i="1"/>
  <c r="AR208" i="1" s="1"/>
  <c r="Z209" i="1"/>
  <c r="AO209" i="1" s="1"/>
  <c r="AA209" i="1"/>
  <c r="AP209" i="1" s="1"/>
  <c r="AB209" i="1"/>
  <c r="AQ209" i="1" s="1"/>
  <c r="AC209" i="1"/>
  <c r="AR209" i="1" s="1"/>
  <c r="Z210" i="1"/>
  <c r="AO210" i="1" s="1"/>
  <c r="AA210" i="1"/>
  <c r="AP210" i="1" s="1"/>
  <c r="AB210" i="1"/>
  <c r="AQ210" i="1" s="1"/>
  <c r="AC210" i="1"/>
  <c r="AR210" i="1" s="1"/>
  <c r="Z211" i="1"/>
  <c r="AO211" i="1" s="1"/>
  <c r="AA211" i="1"/>
  <c r="AP211" i="1" s="1"/>
  <c r="AB211" i="1"/>
  <c r="AQ211" i="1" s="1"/>
  <c r="AC211" i="1"/>
  <c r="AR211" i="1" s="1"/>
  <c r="Z212" i="1"/>
  <c r="AO212" i="1" s="1"/>
  <c r="AA212" i="1"/>
  <c r="AP212" i="1" s="1"/>
  <c r="AB212" i="1"/>
  <c r="AQ212" i="1" s="1"/>
  <c r="AC212" i="1"/>
  <c r="AR212" i="1" s="1"/>
  <c r="Z213" i="1"/>
  <c r="AO213" i="1" s="1"/>
  <c r="AA213" i="1"/>
  <c r="AP213" i="1" s="1"/>
  <c r="AB213" i="1"/>
  <c r="AQ213" i="1" s="1"/>
  <c r="AC213" i="1"/>
  <c r="AR213" i="1" s="1"/>
  <c r="Z214" i="1"/>
  <c r="AO214" i="1" s="1"/>
  <c r="AA214" i="1"/>
  <c r="AP214" i="1" s="1"/>
  <c r="AB214" i="1"/>
  <c r="AQ214" i="1" s="1"/>
  <c r="AC214" i="1"/>
  <c r="AR214" i="1" s="1"/>
  <c r="Z215" i="1"/>
  <c r="AO215" i="1" s="1"/>
  <c r="AA215" i="1"/>
  <c r="AP215" i="1" s="1"/>
  <c r="AB215" i="1"/>
  <c r="AQ215" i="1" s="1"/>
  <c r="AC215" i="1"/>
  <c r="AR215" i="1" s="1"/>
  <c r="Z216" i="1"/>
  <c r="AO216" i="1" s="1"/>
  <c r="AA216" i="1"/>
  <c r="AP216" i="1" s="1"/>
  <c r="AB216" i="1"/>
  <c r="AQ216" i="1" s="1"/>
  <c r="AC216" i="1"/>
  <c r="AR216" i="1" s="1"/>
  <c r="Z217" i="1"/>
  <c r="AO217" i="1" s="1"/>
  <c r="AA217" i="1"/>
  <c r="AP217" i="1" s="1"/>
  <c r="AB217" i="1"/>
  <c r="AQ217" i="1" s="1"/>
  <c r="AC217" i="1"/>
  <c r="AR217" i="1" s="1"/>
  <c r="Z218" i="1"/>
  <c r="AO218" i="1" s="1"/>
  <c r="AA218" i="1"/>
  <c r="AP218" i="1" s="1"/>
  <c r="AB218" i="1"/>
  <c r="AQ218" i="1" s="1"/>
  <c r="AC218" i="1"/>
  <c r="AR218" i="1" s="1"/>
  <c r="Z219" i="1"/>
  <c r="AO219" i="1" s="1"/>
  <c r="AA219" i="1"/>
  <c r="AP219" i="1" s="1"/>
  <c r="AB219" i="1"/>
  <c r="AQ219" i="1" s="1"/>
  <c r="AC219" i="1"/>
  <c r="AR219" i="1" s="1"/>
  <c r="Z220" i="1"/>
  <c r="AO220" i="1" s="1"/>
  <c r="AA220" i="1"/>
  <c r="AP220" i="1" s="1"/>
  <c r="AB220" i="1"/>
  <c r="AQ220" i="1" s="1"/>
  <c r="AC220" i="1"/>
  <c r="AR220" i="1" s="1"/>
  <c r="Z221" i="1"/>
  <c r="AO221" i="1" s="1"/>
  <c r="AA221" i="1"/>
  <c r="AP221" i="1" s="1"/>
  <c r="AB221" i="1"/>
  <c r="AQ221" i="1" s="1"/>
  <c r="AC221" i="1"/>
  <c r="AR221" i="1" s="1"/>
  <c r="Z222" i="1"/>
  <c r="AO222" i="1" s="1"/>
  <c r="AA222" i="1"/>
  <c r="AP222" i="1" s="1"/>
  <c r="AB222" i="1"/>
  <c r="AQ222" i="1" s="1"/>
  <c r="AC222" i="1"/>
  <c r="AR222" i="1" s="1"/>
  <c r="Z223" i="1"/>
  <c r="AO223" i="1" s="1"/>
  <c r="AA223" i="1"/>
  <c r="AP223" i="1" s="1"/>
  <c r="AB223" i="1"/>
  <c r="AQ223" i="1" s="1"/>
  <c r="AC223" i="1"/>
  <c r="AR223" i="1" s="1"/>
  <c r="Z224" i="1"/>
  <c r="AO224" i="1" s="1"/>
  <c r="AA224" i="1"/>
  <c r="AP224" i="1" s="1"/>
  <c r="AB224" i="1"/>
  <c r="AQ224" i="1" s="1"/>
  <c r="AC224" i="1"/>
  <c r="AR224" i="1" s="1"/>
  <c r="Z225" i="1"/>
  <c r="AO225" i="1" s="1"/>
  <c r="AA225" i="1"/>
  <c r="AP225" i="1" s="1"/>
  <c r="AB225" i="1"/>
  <c r="AQ225" i="1" s="1"/>
  <c r="AC225" i="1"/>
  <c r="AR225" i="1" s="1"/>
  <c r="Z226" i="1"/>
  <c r="AO226" i="1" s="1"/>
  <c r="AA226" i="1"/>
  <c r="AP226" i="1" s="1"/>
  <c r="AB226" i="1"/>
  <c r="AQ226" i="1" s="1"/>
  <c r="AC226" i="1"/>
  <c r="AR226" i="1" s="1"/>
  <c r="Z227" i="1"/>
  <c r="AO227" i="1" s="1"/>
  <c r="AA227" i="1"/>
  <c r="AP227" i="1" s="1"/>
  <c r="AB227" i="1"/>
  <c r="AQ227" i="1" s="1"/>
  <c r="AC227" i="1"/>
  <c r="AR227" i="1" s="1"/>
  <c r="Z228" i="1"/>
  <c r="AO228" i="1" s="1"/>
  <c r="AA228" i="1"/>
  <c r="AP228" i="1" s="1"/>
  <c r="AB228" i="1"/>
  <c r="AQ228" i="1" s="1"/>
  <c r="AC228" i="1"/>
  <c r="AR228" i="1" s="1"/>
  <c r="Z229" i="1"/>
  <c r="AO229" i="1" s="1"/>
  <c r="AA229" i="1"/>
  <c r="AP229" i="1" s="1"/>
  <c r="AB229" i="1"/>
  <c r="AQ229" i="1" s="1"/>
  <c r="AC229" i="1"/>
  <c r="AR229" i="1" s="1"/>
  <c r="Z230" i="1"/>
  <c r="AO230" i="1" s="1"/>
  <c r="AA230" i="1"/>
  <c r="AP230" i="1" s="1"/>
  <c r="AB230" i="1"/>
  <c r="AQ230" i="1" s="1"/>
  <c r="AC230" i="1"/>
  <c r="AR230" i="1" s="1"/>
  <c r="Z231" i="1"/>
  <c r="AO231" i="1" s="1"/>
  <c r="AA231" i="1"/>
  <c r="AP231" i="1" s="1"/>
  <c r="AB231" i="1"/>
  <c r="AQ231" i="1" s="1"/>
  <c r="AC231" i="1"/>
  <c r="AR231" i="1" s="1"/>
  <c r="Z232" i="1"/>
  <c r="AO232" i="1" s="1"/>
  <c r="AA232" i="1"/>
  <c r="AP232" i="1" s="1"/>
  <c r="AB232" i="1"/>
  <c r="AQ232" i="1" s="1"/>
  <c r="AC232" i="1"/>
  <c r="AR232" i="1" s="1"/>
  <c r="Z233" i="1"/>
  <c r="AO233" i="1" s="1"/>
  <c r="AA233" i="1"/>
  <c r="AP233" i="1" s="1"/>
  <c r="AB233" i="1"/>
  <c r="AQ233" i="1" s="1"/>
  <c r="AC233" i="1"/>
  <c r="AR233" i="1" s="1"/>
  <c r="Z234" i="1"/>
  <c r="AO234" i="1" s="1"/>
  <c r="AA234" i="1"/>
  <c r="AP234" i="1" s="1"/>
  <c r="AB234" i="1"/>
  <c r="AQ234" i="1" s="1"/>
  <c r="AC234" i="1"/>
  <c r="AR234" i="1" s="1"/>
  <c r="Z235" i="1"/>
  <c r="AO235" i="1" s="1"/>
  <c r="AA235" i="1"/>
  <c r="AP235" i="1" s="1"/>
  <c r="AB235" i="1"/>
  <c r="AQ235" i="1" s="1"/>
  <c r="AC235" i="1"/>
  <c r="AR235" i="1" s="1"/>
  <c r="Z236" i="1"/>
  <c r="AO236" i="1" s="1"/>
  <c r="AA236" i="1"/>
  <c r="AP236" i="1" s="1"/>
  <c r="AB236" i="1"/>
  <c r="AQ236" i="1" s="1"/>
  <c r="AC236" i="1"/>
  <c r="AR236" i="1" s="1"/>
  <c r="Z237" i="1"/>
  <c r="AO237" i="1" s="1"/>
  <c r="AA237" i="1"/>
  <c r="AP237" i="1" s="1"/>
  <c r="AB237" i="1"/>
  <c r="AQ237" i="1" s="1"/>
  <c r="AC237" i="1"/>
  <c r="AR237" i="1" s="1"/>
  <c r="Z238" i="1"/>
  <c r="AO238" i="1" s="1"/>
  <c r="AA238" i="1"/>
  <c r="AP238" i="1" s="1"/>
  <c r="AB238" i="1"/>
  <c r="AQ238" i="1" s="1"/>
  <c r="AC238" i="1"/>
  <c r="AR238" i="1" s="1"/>
  <c r="Z239" i="1"/>
  <c r="AO239" i="1" s="1"/>
  <c r="AA239" i="1"/>
  <c r="AP239" i="1" s="1"/>
  <c r="AB239" i="1"/>
  <c r="AQ239" i="1" s="1"/>
  <c r="AC239" i="1"/>
  <c r="AR239" i="1" s="1"/>
  <c r="Z240" i="1"/>
  <c r="AO240" i="1" s="1"/>
  <c r="AA240" i="1"/>
  <c r="AP240" i="1" s="1"/>
  <c r="AB240" i="1"/>
  <c r="AQ240" i="1" s="1"/>
  <c r="AC240" i="1"/>
  <c r="AR240" i="1" s="1"/>
  <c r="Z241" i="1"/>
  <c r="AO241" i="1" s="1"/>
  <c r="AA241" i="1"/>
  <c r="AP241" i="1" s="1"/>
  <c r="AB241" i="1"/>
  <c r="AQ241" i="1" s="1"/>
  <c r="AC241" i="1"/>
  <c r="AR241" i="1" s="1"/>
  <c r="Z242" i="1"/>
  <c r="AO242" i="1" s="1"/>
  <c r="AA242" i="1"/>
  <c r="AP242" i="1" s="1"/>
  <c r="AB242" i="1"/>
  <c r="AQ242" i="1" s="1"/>
  <c r="AC242" i="1"/>
  <c r="AR242" i="1" s="1"/>
  <c r="Z243" i="1"/>
  <c r="AO243" i="1" s="1"/>
  <c r="AA243" i="1"/>
  <c r="AP243" i="1" s="1"/>
  <c r="AB243" i="1"/>
  <c r="AQ243" i="1" s="1"/>
  <c r="AC243" i="1"/>
  <c r="AR243" i="1" s="1"/>
  <c r="Z244" i="1"/>
  <c r="AO244" i="1" s="1"/>
  <c r="AA244" i="1"/>
  <c r="AP244" i="1" s="1"/>
  <c r="AB244" i="1"/>
  <c r="AQ244" i="1" s="1"/>
  <c r="AC244" i="1"/>
  <c r="AR244" i="1" s="1"/>
  <c r="Z245" i="1"/>
  <c r="AO245" i="1" s="1"/>
  <c r="AA245" i="1"/>
  <c r="AP245" i="1" s="1"/>
  <c r="AB245" i="1"/>
  <c r="AQ245" i="1" s="1"/>
  <c r="AC245" i="1"/>
  <c r="AR245" i="1" s="1"/>
  <c r="Z246" i="1"/>
  <c r="AO246" i="1" s="1"/>
  <c r="AA246" i="1"/>
  <c r="AP246" i="1" s="1"/>
  <c r="AB246" i="1"/>
  <c r="AQ246" i="1" s="1"/>
  <c r="AC246" i="1"/>
  <c r="AR246" i="1" s="1"/>
  <c r="Z247" i="1"/>
  <c r="AO247" i="1" s="1"/>
  <c r="AA247" i="1"/>
  <c r="AP247" i="1" s="1"/>
  <c r="AB247" i="1"/>
  <c r="AQ247" i="1" s="1"/>
  <c r="AC247" i="1"/>
  <c r="AR247" i="1" s="1"/>
  <c r="Z248" i="1"/>
  <c r="AO248" i="1" s="1"/>
  <c r="AA248" i="1"/>
  <c r="AP248" i="1" s="1"/>
  <c r="AB248" i="1"/>
  <c r="AQ248" i="1" s="1"/>
  <c r="AC248" i="1"/>
  <c r="AR248" i="1" s="1"/>
  <c r="Z249" i="1"/>
  <c r="AO249" i="1" s="1"/>
  <c r="AA249" i="1"/>
  <c r="AP249" i="1" s="1"/>
  <c r="AB249" i="1"/>
  <c r="AQ249" i="1" s="1"/>
  <c r="AC249" i="1"/>
  <c r="AR249" i="1" s="1"/>
  <c r="Z250" i="1"/>
  <c r="AO250" i="1" s="1"/>
  <c r="AA250" i="1"/>
  <c r="AP250" i="1" s="1"/>
  <c r="AB250" i="1"/>
  <c r="AQ250" i="1" s="1"/>
  <c r="AC250" i="1"/>
  <c r="AR250" i="1" s="1"/>
  <c r="Z251" i="1"/>
  <c r="AO251" i="1" s="1"/>
  <c r="AA251" i="1"/>
  <c r="AP251" i="1" s="1"/>
  <c r="AB251" i="1"/>
  <c r="AQ251" i="1" s="1"/>
  <c r="AC251" i="1"/>
  <c r="AR251" i="1" s="1"/>
  <c r="Z252" i="1"/>
  <c r="AO252" i="1" s="1"/>
  <c r="AA252" i="1"/>
  <c r="AP252" i="1" s="1"/>
  <c r="AB252" i="1"/>
  <c r="AQ252" i="1" s="1"/>
  <c r="AC252" i="1"/>
  <c r="AR252" i="1" s="1"/>
  <c r="Z253" i="1"/>
  <c r="AO253" i="1" s="1"/>
  <c r="AA253" i="1"/>
  <c r="AP253" i="1" s="1"/>
  <c r="AB253" i="1"/>
  <c r="AQ253" i="1" s="1"/>
  <c r="AC253" i="1"/>
  <c r="AR253" i="1" s="1"/>
  <c r="Z254" i="1"/>
  <c r="AO254" i="1" s="1"/>
  <c r="AA254" i="1"/>
  <c r="AP254" i="1" s="1"/>
  <c r="AB254" i="1"/>
  <c r="AQ254" i="1" s="1"/>
  <c r="AC254" i="1"/>
  <c r="AR254" i="1" s="1"/>
  <c r="Z255" i="1"/>
  <c r="AO255" i="1" s="1"/>
  <c r="AA255" i="1"/>
  <c r="AP255" i="1" s="1"/>
  <c r="AB255" i="1"/>
  <c r="AQ255" i="1" s="1"/>
  <c r="AC255" i="1"/>
  <c r="AR255" i="1" s="1"/>
  <c r="Z256" i="1"/>
  <c r="AO256" i="1" s="1"/>
  <c r="AA256" i="1"/>
  <c r="AP256" i="1" s="1"/>
  <c r="AB256" i="1"/>
  <c r="AQ256" i="1" s="1"/>
  <c r="AC256" i="1"/>
  <c r="AR256" i="1" s="1"/>
  <c r="Z257" i="1"/>
  <c r="AO257" i="1" s="1"/>
  <c r="AA257" i="1"/>
  <c r="AP257" i="1" s="1"/>
  <c r="AB257" i="1"/>
  <c r="AQ257" i="1" s="1"/>
  <c r="AC257" i="1"/>
  <c r="AR257" i="1" s="1"/>
  <c r="Z258" i="1"/>
  <c r="AO258" i="1" s="1"/>
  <c r="AA258" i="1"/>
  <c r="AP258" i="1" s="1"/>
  <c r="AB258" i="1"/>
  <c r="AQ258" i="1" s="1"/>
  <c r="AC258" i="1"/>
  <c r="AR258" i="1" s="1"/>
  <c r="Z259" i="1"/>
  <c r="AO259" i="1" s="1"/>
  <c r="AA259" i="1"/>
  <c r="AP259" i="1" s="1"/>
  <c r="AB259" i="1"/>
  <c r="AQ259" i="1" s="1"/>
  <c r="AC259" i="1"/>
  <c r="AR259" i="1" s="1"/>
  <c r="Z260" i="1"/>
  <c r="AO260" i="1" s="1"/>
  <c r="AA260" i="1"/>
  <c r="AP260" i="1" s="1"/>
  <c r="AB260" i="1"/>
  <c r="AQ260" i="1" s="1"/>
  <c r="AC260" i="1"/>
  <c r="AR260" i="1" s="1"/>
  <c r="Z261" i="1"/>
  <c r="AO261" i="1" s="1"/>
  <c r="AA261" i="1"/>
  <c r="AP261" i="1" s="1"/>
  <c r="AB261" i="1"/>
  <c r="AQ261" i="1" s="1"/>
  <c r="AC261" i="1"/>
  <c r="AR261" i="1" s="1"/>
  <c r="Z262" i="1"/>
  <c r="AO262" i="1" s="1"/>
  <c r="AA262" i="1"/>
  <c r="AP262" i="1" s="1"/>
  <c r="AB262" i="1"/>
  <c r="AQ262" i="1" s="1"/>
  <c r="AC262" i="1"/>
  <c r="AR262" i="1" s="1"/>
  <c r="Z263" i="1"/>
  <c r="AO263" i="1" s="1"/>
  <c r="AA263" i="1"/>
  <c r="AP263" i="1" s="1"/>
  <c r="AB263" i="1"/>
  <c r="AQ263" i="1" s="1"/>
  <c r="AC263" i="1"/>
  <c r="AR263" i="1" s="1"/>
  <c r="Z264" i="1"/>
  <c r="AO264" i="1" s="1"/>
  <c r="AA264" i="1"/>
  <c r="AP264" i="1" s="1"/>
  <c r="AB264" i="1"/>
  <c r="AQ264" i="1" s="1"/>
  <c r="AC264" i="1"/>
  <c r="AR264" i="1" s="1"/>
  <c r="Z265" i="1"/>
  <c r="AO265" i="1" s="1"/>
  <c r="AA265" i="1"/>
  <c r="AP265" i="1" s="1"/>
  <c r="AB265" i="1"/>
  <c r="AQ265" i="1" s="1"/>
  <c r="AC265" i="1"/>
  <c r="AR265" i="1" s="1"/>
  <c r="Z266" i="1"/>
  <c r="AO266" i="1" s="1"/>
  <c r="AA266" i="1"/>
  <c r="AP266" i="1" s="1"/>
  <c r="AB266" i="1"/>
  <c r="AQ266" i="1" s="1"/>
  <c r="AC266" i="1"/>
  <c r="AR266" i="1" s="1"/>
  <c r="Z267" i="1"/>
  <c r="AO267" i="1" s="1"/>
  <c r="AA267" i="1"/>
  <c r="AP267" i="1" s="1"/>
  <c r="AB267" i="1"/>
  <c r="AQ267" i="1" s="1"/>
  <c r="AC267" i="1"/>
  <c r="AR267" i="1" s="1"/>
  <c r="Z268" i="1"/>
  <c r="AO268" i="1" s="1"/>
  <c r="AA268" i="1"/>
  <c r="AP268" i="1" s="1"/>
  <c r="AB268" i="1"/>
  <c r="AQ268" i="1" s="1"/>
  <c r="AC268" i="1"/>
  <c r="AR268" i="1" s="1"/>
  <c r="Z269" i="1"/>
  <c r="AO269" i="1" s="1"/>
  <c r="AA269" i="1"/>
  <c r="AP269" i="1" s="1"/>
  <c r="AB269" i="1"/>
  <c r="AQ269" i="1" s="1"/>
  <c r="AC269" i="1"/>
  <c r="AR269" i="1" s="1"/>
  <c r="Z270" i="1"/>
  <c r="AO270" i="1" s="1"/>
  <c r="AA270" i="1"/>
  <c r="AP270" i="1" s="1"/>
  <c r="AB270" i="1"/>
  <c r="AQ270" i="1" s="1"/>
  <c r="AC270" i="1"/>
  <c r="AR270" i="1" s="1"/>
  <c r="Z271" i="1"/>
  <c r="AO271" i="1" s="1"/>
  <c r="AA271" i="1"/>
  <c r="AP271" i="1" s="1"/>
  <c r="AB271" i="1"/>
  <c r="AQ271" i="1" s="1"/>
  <c r="AC271" i="1"/>
  <c r="AR271" i="1" s="1"/>
  <c r="Z272" i="1"/>
  <c r="AO272" i="1" s="1"/>
  <c r="AA272" i="1"/>
  <c r="AP272" i="1" s="1"/>
  <c r="AB272" i="1"/>
  <c r="AQ272" i="1" s="1"/>
  <c r="AC272" i="1"/>
  <c r="AR272" i="1" s="1"/>
  <c r="Z273" i="1"/>
  <c r="AO273" i="1" s="1"/>
  <c r="AA273" i="1"/>
  <c r="AP273" i="1" s="1"/>
  <c r="AB273" i="1"/>
  <c r="AQ273" i="1" s="1"/>
  <c r="AC273" i="1"/>
  <c r="AR273" i="1" s="1"/>
  <c r="Z274" i="1"/>
  <c r="AO274" i="1" s="1"/>
  <c r="AA274" i="1"/>
  <c r="AP274" i="1" s="1"/>
  <c r="AB274" i="1"/>
  <c r="AQ274" i="1" s="1"/>
  <c r="AC274" i="1"/>
  <c r="AR274" i="1" s="1"/>
  <c r="Z275" i="1"/>
  <c r="AO275" i="1" s="1"/>
  <c r="AA275" i="1"/>
  <c r="AP275" i="1" s="1"/>
  <c r="AB275" i="1"/>
  <c r="AQ275" i="1" s="1"/>
  <c r="AC275" i="1"/>
  <c r="AR275" i="1" s="1"/>
  <c r="Z276" i="1"/>
  <c r="AO276" i="1" s="1"/>
  <c r="AA276" i="1"/>
  <c r="AP276" i="1" s="1"/>
  <c r="AB276" i="1"/>
  <c r="AQ276" i="1" s="1"/>
  <c r="AC276" i="1"/>
  <c r="AR276" i="1" s="1"/>
  <c r="Z277" i="1"/>
  <c r="AO277" i="1" s="1"/>
  <c r="AA277" i="1"/>
  <c r="AP277" i="1" s="1"/>
  <c r="AB277" i="1"/>
  <c r="AQ277" i="1" s="1"/>
  <c r="AC277" i="1"/>
  <c r="AR277" i="1" s="1"/>
  <c r="Z278" i="1"/>
  <c r="AO278" i="1" s="1"/>
  <c r="AA278" i="1"/>
  <c r="AP278" i="1" s="1"/>
  <c r="AB278" i="1"/>
  <c r="AQ278" i="1" s="1"/>
  <c r="AC278" i="1"/>
  <c r="AR278" i="1" s="1"/>
  <c r="Z279" i="1"/>
  <c r="AO279" i="1" s="1"/>
  <c r="AA279" i="1"/>
  <c r="AP279" i="1" s="1"/>
  <c r="AB279" i="1"/>
  <c r="AQ279" i="1" s="1"/>
  <c r="AC279" i="1"/>
  <c r="AR279" i="1" s="1"/>
  <c r="Z280" i="1"/>
  <c r="AO280" i="1" s="1"/>
  <c r="AA280" i="1"/>
  <c r="AP280" i="1" s="1"/>
  <c r="AB280" i="1"/>
  <c r="AQ280" i="1" s="1"/>
  <c r="AC280" i="1"/>
  <c r="AR280" i="1" s="1"/>
  <c r="Z281" i="1"/>
  <c r="AO281" i="1" s="1"/>
  <c r="AA281" i="1"/>
  <c r="AP281" i="1" s="1"/>
  <c r="AB281" i="1"/>
  <c r="AQ281" i="1" s="1"/>
  <c r="AC281" i="1"/>
  <c r="AR281" i="1" s="1"/>
  <c r="Z282" i="1"/>
  <c r="AO282" i="1" s="1"/>
  <c r="AA282" i="1"/>
  <c r="AP282" i="1" s="1"/>
  <c r="AB282" i="1"/>
  <c r="AQ282" i="1" s="1"/>
  <c r="AC282" i="1"/>
  <c r="AR282" i="1" s="1"/>
  <c r="Z283" i="1"/>
  <c r="AO283" i="1" s="1"/>
  <c r="AA283" i="1"/>
  <c r="AP283" i="1" s="1"/>
  <c r="AB283" i="1"/>
  <c r="AQ283" i="1" s="1"/>
  <c r="AC283" i="1"/>
  <c r="AR283" i="1" s="1"/>
  <c r="Z284" i="1"/>
  <c r="AO284" i="1" s="1"/>
  <c r="AA284" i="1"/>
  <c r="AP284" i="1" s="1"/>
  <c r="AB284" i="1"/>
  <c r="AQ284" i="1" s="1"/>
  <c r="AC284" i="1"/>
  <c r="AR284" i="1" s="1"/>
  <c r="Z285" i="1"/>
  <c r="AO285" i="1" s="1"/>
  <c r="AA285" i="1"/>
  <c r="AP285" i="1" s="1"/>
  <c r="AB285" i="1"/>
  <c r="AQ285" i="1" s="1"/>
  <c r="AC285" i="1"/>
  <c r="AR285" i="1" s="1"/>
  <c r="Z286" i="1"/>
  <c r="AO286" i="1" s="1"/>
  <c r="AA286" i="1"/>
  <c r="AP286" i="1" s="1"/>
  <c r="AB286" i="1"/>
  <c r="AQ286" i="1" s="1"/>
  <c r="AC286" i="1"/>
  <c r="AR286" i="1" s="1"/>
  <c r="Z287" i="1"/>
  <c r="AO287" i="1" s="1"/>
  <c r="AA287" i="1"/>
  <c r="AP287" i="1" s="1"/>
  <c r="AB287" i="1"/>
  <c r="AQ287" i="1" s="1"/>
  <c r="AC287" i="1"/>
  <c r="AR287" i="1" s="1"/>
  <c r="Z288" i="1"/>
  <c r="AO288" i="1" s="1"/>
  <c r="AA288" i="1"/>
  <c r="AP288" i="1" s="1"/>
  <c r="AB288" i="1"/>
  <c r="AQ288" i="1" s="1"/>
  <c r="AC288" i="1"/>
  <c r="AR288" i="1" s="1"/>
  <c r="Z289" i="1"/>
  <c r="AO289" i="1" s="1"/>
  <c r="AA289" i="1"/>
  <c r="AP289" i="1" s="1"/>
  <c r="AB289" i="1"/>
  <c r="AQ289" i="1" s="1"/>
  <c r="AC289" i="1"/>
  <c r="AR289" i="1" s="1"/>
  <c r="Z290" i="1"/>
  <c r="AO290" i="1" s="1"/>
  <c r="AA290" i="1"/>
  <c r="AP290" i="1" s="1"/>
  <c r="AB290" i="1"/>
  <c r="AQ290" i="1" s="1"/>
  <c r="AC290" i="1"/>
  <c r="AR290" i="1" s="1"/>
  <c r="Z291" i="1"/>
  <c r="AO291" i="1" s="1"/>
  <c r="AA291" i="1"/>
  <c r="AP291" i="1" s="1"/>
  <c r="AB291" i="1"/>
  <c r="AQ291" i="1" s="1"/>
  <c r="AC291" i="1"/>
  <c r="AR291" i="1" s="1"/>
  <c r="Z292" i="1"/>
  <c r="AO292" i="1" s="1"/>
  <c r="AA292" i="1"/>
  <c r="AP292" i="1" s="1"/>
  <c r="AB292" i="1"/>
  <c r="AQ292" i="1" s="1"/>
  <c r="AC292" i="1"/>
  <c r="AR292" i="1" s="1"/>
  <c r="Z293" i="1"/>
  <c r="AO293" i="1" s="1"/>
  <c r="AA293" i="1"/>
  <c r="AP293" i="1" s="1"/>
  <c r="AB293" i="1"/>
  <c r="AQ293" i="1" s="1"/>
  <c r="AC293" i="1"/>
  <c r="AR293" i="1" s="1"/>
  <c r="Z294" i="1"/>
  <c r="AO294" i="1" s="1"/>
  <c r="AA294" i="1"/>
  <c r="AP294" i="1" s="1"/>
  <c r="AB294" i="1"/>
  <c r="AQ294" i="1" s="1"/>
  <c r="AC294" i="1"/>
  <c r="AR294" i="1" s="1"/>
  <c r="Z295" i="1"/>
  <c r="AO295" i="1" s="1"/>
  <c r="AA295" i="1"/>
  <c r="AP295" i="1" s="1"/>
  <c r="AB295" i="1"/>
  <c r="AQ295" i="1" s="1"/>
  <c r="AC295" i="1"/>
  <c r="AR295" i="1" s="1"/>
  <c r="Z296" i="1"/>
  <c r="AO296" i="1" s="1"/>
  <c r="AA296" i="1"/>
  <c r="AP296" i="1" s="1"/>
  <c r="AB296" i="1"/>
  <c r="AQ296" i="1" s="1"/>
  <c r="AC296" i="1"/>
  <c r="AR296" i="1" s="1"/>
  <c r="Z297" i="1"/>
  <c r="AO297" i="1" s="1"/>
  <c r="AA297" i="1"/>
  <c r="AP297" i="1" s="1"/>
  <c r="AB297" i="1"/>
  <c r="AQ297" i="1" s="1"/>
  <c r="AC297" i="1"/>
  <c r="AR297" i="1" s="1"/>
  <c r="Z298" i="1"/>
  <c r="AO298" i="1" s="1"/>
  <c r="AA298" i="1"/>
  <c r="AP298" i="1" s="1"/>
  <c r="AB298" i="1"/>
  <c r="AQ298" i="1" s="1"/>
  <c r="AC298" i="1"/>
  <c r="AR298" i="1" s="1"/>
  <c r="Z299" i="1"/>
  <c r="AO299" i="1" s="1"/>
  <c r="AA299" i="1"/>
  <c r="AP299" i="1" s="1"/>
  <c r="AB299" i="1"/>
  <c r="AQ299" i="1" s="1"/>
  <c r="AC299" i="1"/>
  <c r="AR299" i="1" s="1"/>
  <c r="Z300" i="1"/>
  <c r="AO300" i="1" s="1"/>
  <c r="AA300" i="1"/>
  <c r="AP300" i="1" s="1"/>
  <c r="AB300" i="1"/>
  <c r="AQ300" i="1" s="1"/>
  <c r="AC300" i="1"/>
  <c r="AR300" i="1" s="1"/>
  <c r="Z301" i="1"/>
  <c r="AO301" i="1" s="1"/>
  <c r="AA301" i="1"/>
  <c r="AP301" i="1" s="1"/>
  <c r="AB301" i="1"/>
  <c r="AQ301" i="1" s="1"/>
  <c r="AC301" i="1"/>
  <c r="AR301" i="1" s="1"/>
  <c r="Z302" i="1"/>
  <c r="AO302" i="1" s="1"/>
  <c r="AA302" i="1"/>
  <c r="AP302" i="1" s="1"/>
  <c r="AB302" i="1"/>
  <c r="AQ302" i="1" s="1"/>
  <c r="AC302" i="1"/>
  <c r="AR302" i="1" s="1"/>
  <c r="Z303" i="1"/>
  <c r="AO303" i="1" s="1"/>
  <c r="AA303" i="1"/>
  <c r="AP303" i="1" s="1"/>
  <c r="AB303" i="1"/>
  <c r="AQ303" i="1" s="1"/>
  <c r="AC303" i="1"/>
  <c r="AR303" i="1" s="1"/>
  <c r="Z304" i="1"/>
  <c r="AO304" i="1" s="1"/>
  <c r="AA304" i="1"/>
  <c r="AP304" i="1" s="1"/>
  <c r="AB304" i="1"/>
  <c r="AQ304" i="1" s="1"/>
  <c r="AC304" i="1"/>
  <c r="AR304" i="1" s="1"/>
  <c r="Z305" i="1"/>
  <c r="AO305" i="1" s="1"/>
  <c r="AA305" i="1"/>
  <c r="AP305" i="1" s="1"/>
  <c r="AB305" i="1"/>
  <c r="AQ305" i="1" s="1"/>
  <c r="AC305" i="1"/>
  <c r="AR305" i="1" s="1"/>
  <c r="Z306" i="1"/>
  <c r="AO306" i="1" s="1"/>
  <c r="AA306" i="1"/>
  <c r="AP306" i="1" s="1"/>
  <c r="AB306" i="1"/>
  <c r="AQ306" i="1" s="1"/>
  <c r="AC306" i="1"/>
  <c r="AR306" i="1" s="1"/>
  <c r="Z307" i="1"/>
  <c r="AO307" i="1" s="1"/>
  <c r="AA307" i="1"/>
  <c r="AP307" i="1" s="1"/>
  <c r="AB307" i="1"/>
  <c r="AQ307" i="1" s="1"/>
  <c r="AC307" i="1"/>
  <c r="AR307" i="1" s="1"/>
  <c r="Z308" i="1"/>
  <c r="AO308" i="1" s="1"/>
  <c r="AA308" i="1"/>
  <c r="AP308" i="1" s="1"/>
  <c r="AB308" i="1"/>
  <c r="AQ308" i="1" s="1"/>
  <c r="AC308" i="1"/>
  <c r="AR308" i="1" s="1"/>
  <c r="Z309" i="1"/>
  <c r="AO309" i="1" s="1"/>
  <c r="AA309" i="1"/>
  <c r="AP309" i="1" s="1"/>
  <c r="AB309" i="1"/>
  <c r="AQ309" i="1" s="1"/>
  <c r="AC309" i="1"/>
  <c r="AR309" i="1" s="1"/>
  <c r="Z310" i="1"/>
  <c r="AO310" i="1" s="1"/>
  <c r="AA310" i="1"/>
  <c r="AP310" i="1" s="1"/>
  <c r="AB310" i="1"/>
  <c r="AQ310" i="1" s="1"/>
  <c r="AC310" i="1"/>
  <c r="AR310" i="1" s="1"/>
  <c r="Z311" i="1"/>
  <c r="AO311" i="1" s="1"/>
  <c r="AA311" i="1"/>
  <c r="AP311" i="1" s="1"/>
  <c r="AB311" i="1"/>
  <c r="AQ311" i="1" s="1"/>
  <c r="AC311" i="1"/>
  <c r="AR311" i="1" s="1"/>
  <c r="Z312" i="1"/>
  <c r="AO312" i="1" s="1"/>
  <c r="AA312" i="1"/>
  <c r="AP312" i="1" s="1"/>
  <c r="AB312" i="1"/>
  <c r="AQ312" i="1" s="1"/>
  <c r="AC312" i="1"/>
  <c r="AR312" i="1" s="1"/>
  <c r="Z313" i="1"/>
  <c r="AO313" i="1" s="1"/>
  <c r="AA313" i="1"/>
  <c r="AP313" i="1" s="1"/>
  <c r="AB313" i="1"/>
  <c r="AQ313" i="1" s="1"/>
  <c r="AC313" i="1"/>
  <c r="AR313" i="1" s="1"/>
  <c r="Z314" i="1"/>
  <c r="AO314" i="1" s="1"/>
  <c r="AA314" i="1"/>
  <c r="AP314" i="1" s="1"/>
  <c r="AB314" i="1"/>
  <c r="AQ314" i="1" s="1"/>
  <c r="AC314" i="1"/>
  <c r="AR314" i="1" s="1"/>
  <c r="Z315" i="1"/>
  <c r="AO315" i="1" s="1"/>
  <c r="AA315" i="1"/>
  <c r="AP315" i="1" s="1"/>
  <c r="AB315" i="1"/>
  <c r="AQ315" i="1" s="1"/>
  <c r="AC315" i="1"/>
  <c r="AR315" i="1" s="1"/>
  <c r="Z316" i="1"/>
  <c r="AO316" i="1" s="1"/>
  <c r="AA316" i="1"/>
  <c r="AP316" i="1" s="1"/>
  <c r="AB316" i="1"/>
  <c r="AQ316" i="1" s="1"/>
  <c r="AC316" i="1"/>
  <c r="AR316" i="1" s="1"/>
  <c r="Z317" i="1"/>
  <c r="AO317" i="1" s="1"/>
  <c r="AA317" i="1"/>
  <c r="AP317" i="1" s="1"/>
  <c r="AB317" i="1"/>
  <c r="AQ317" i="1" s="1"/>
  <c r="AC317" i="1"/>
  <c r="AR317" i="1" s="1"/>
  <c r="Z318" i="1"/>
  <c r="AO318" i="1" s="1"/>
  <c r="AA318" i="1"/>
  <c r="AP318" i="1" s="1"/>
  <c r="AB318" i="1"/>
  <c r="AQ318" i="1" s="1"/>
  <c r="AC318" i="1"/>
  <c r="AR318" i="1" s="1"/>
  <c r="Z319" i="1"/>
  <c r="AO319" i="1" s="1"/>
  <c r="AA319" i="1"/>
  <c r="AP319" i="1" s="1"/>
  <c r="AB319" i="1"/>
  <c r="AQ319" i="1" s="1"/>
  <c r="AC319" i="1"/>
  <c r="AR319" i="1" s="1"/>
  <c r="Z320" i="1"/>
  <c r="AO320" i="1" s="1"/>
  <c r="AA320" i="1"/>
  <c r="AP320" i="1" s="1"/>
  <c r="AB320" i="1"/>
  <c r="AQ320" i="1" s="1"/>
  <c r="AC320" i="1"/>
  <c r="AR320" i="1" s="1"/>
  <c r="Z321" i="1"/>
  <c r="AO321" i="1" s="1"/>
  <c r="AA321" i="1"/>
  <c r="AP321" i="1" s="1"/>
  <c r="AB321" i="1"/>
  <c r="AQ321" i="1" s="1"/>
  <c r="AC321" i="1"/>
  <c r="AR321" i="1" s="1"/>
  <c r="Z322" i="1"/>
  <c r="AO322" i="1" s="1"/>
  <c r="AA322" i="1"/>
  <c r="AP322" i="1" s="1"/>
  <c r="AB322" i="1"/>
  <c r="AQ322" i="1" s="1"/>
  <c r="AC322" i="1"/>
  <c r="AR322" i="1" s="1"/>
  <c r="Z323" i="1"/>
  <c r="AO323" i="1" s="1"/>
  <c r="AA323" i="1"/>
  <c r="AP323" i="1" s="1"/>
  <c r="AB323" i="1"/>
  <c r="AQ323" i="1" s="1"/>
  <c r="AC323" i="1"/>
  <c r="AR323" i="1" s="1"/>
  <c r="Z324" i="1"/>
  <c r="AO324" i="1" s="1"/>
  <c r="AA324" i="1"/>
  <c r="AP324" i="1" s="1"/>
  <c r="AB324" i="1"/>
  <c r="AQ324" i="1" s="1"/>
  <c r="AC324" i="1"/>
  <c r="AR324" i="1" s="1"/>
  <c r="Z325" i="1"/>
  <c r="AO325" i="1" s="1"/>
  <c r="AA325" i="1"/>
  <c r="AP325" i="1" s="1"/>
  <c r="AB325" i="1"/>
  <c r="AQ325" i="1" s="1"/>
  <c r="AC325" i="1"/>
  <c r="AR325" i="1" s="1"/>
  <c r="Z326" i="1"/>
  <c r="AO326" i="1" s="1"/>
  <c r="AA326" i="1"/>
  <c r="AP326" i="1" s="1"/>
  <c r="AB326" i="1"/>
  <c r="AQ326" i="1" s="1"/>
  <c r="AC326" i="1"/>
  <c r="AR326" i="1" s="1"/>
  <c r="Z327" i="1"/>
  <c r="AO327" i="1" s="1"/>
  <c r="AA327" i="1"/>
  <c r="AP327" i="1" s="1"/>
  <c r="AB327" i="1"/>
  <c r="AQ327" i="1" s="1"/>
  <c r="AC327" i="1"/>
  <c r="AR327" i="1" s="1"/>
  <c r="Z328" i="1"/>
  <c r="AO328" i="1" s="1"/>
  <c r="AA328" i="1"/>
  <c r="AP328" i="1" s="1"/>
  <c r="AB328" i="1"/>
  <c r="AQ328" i="1" s="1"/>
  <c r="AC328" i="1"/>
  <c r="AR328" i="1" s="1"/>
  <c r="Z329" i="1"/>
  <c r="AO329" i="1" s="1"/>
  <c r="AA329" i="1"/>
  <c r="AP329" i="1" s="1"/>
  <c r="AB329" i="1"/>
  <c r="AQ329" i="1" s="1"/>
  <c r="AC329" i="1"/>
  <c r="AR329" i="1" s="1"/>
  <c r="Z330" i="1"/>
  <c r="AO330" i="1" s="1"/>
  <c r="AA330" i="1"/>
  <c r="AP330" i="1" s="1"/>
  <c r="AB330" i="1"/>
  <c r="AQ330" i="1" s="1"/>
  <c r="AC330" i="1"/>
  <c r="AR330" i="1" s="1"/>
  <c r="Z331" i="1"/>
  <c r="AO331" i="1" s="1"/>
  <c r="AA331" i="1"/>
  <c r="AP331" i="1" s="1"/>
  <c r="AB331" i="1"/>
  <c r="AQ331" i="1" s="1"/>
  <c r="AC331" i="1"/>
  <c r="AR331" i="1" s="1"/>
  <c r="Z332" i="1"/>
  <c r="AO332" i="1" s="1"/>
  <c r="AA332" i="1"/>
  <c r="AP332" i="1" s="1"/>
  <c r="AB332" i="1"/>
  <c r="AQ332" i="1" s="1"/>
  <c r="AC332" i="1"/>
  <c r="AR332" i="1" s="1"/>
  <c r="Z333" i="1"/>
  <c r="AO333" i="1" s="1"/>
  <c r="AA333" i="1"/>
  <c r="AP333" i="1" s="1"/>
  <c r="AB333" i="1"/>
  <c r="AQ333" i="1" s="1"/>
  <c r="AC333" i="1"/>
  <c r="AR333" i="1" s="1"/>
  <c r="Z334" i="1"/>
  <c r="AO334" i="1" s="1"/>
  <c r="AA334" i="1"/>
  <c r="AP334" i="1" s="1"/>
  <c r="AB334" i="1"/>
  <c r="AQ334" i="1" s="1"/>
  <c r="AC334" i="1"/>
  <c r="AR334" i="1" s="1"/>
  <c r="Z335" i="1"/>
  <c r="AO335" i="1" s="1"/>
  <c r="AA335" i="1"/>
  <c r="AP335" i="1" s="1"/>
  <c r="AB335" i="1"/>
  <c r="AQ335" i="1" s="1"/>
  <c r="AC335" i="1"/>
  <c r="AR335" i="1" s="1"/>
  <c r="Z336" i="1"/>
  <c r="AO336" i="1" s="1"/>
  <c r="AA336" i="1"/>
  <c r="AP336" i="1" s="1"/>
  <c r="AB336" i="1"/>
  <c r="AQ336" i="1" s="1"/>
  <c r="AC336" i="1"/>
  <c r="AR336" i="1" s="1"/>
  <c r="Z337" i="1"/>
  <c r="AO337" i="1" s="1"/>
  <c r="AA337" i="1"/>
  <c r="AP337" i="1" s="1"/>
  <c r="AB337" i="1"/>
  <c r="AQ337" i="1" s="1"/>
  <c r="AC337" i="1"/>
  <c r="AR337" i="1" s="1"/>
  <c r="Z338" i="1"/>
  <c r="AO338" i="1" s="1"/>
  <c r="AA338" i="1"/>
  <c r="AP338" i="1" s="1"/>
  <c r="AB338" i="1"/>
  <c r="AQ338" i="1" s="1"/>
  <c r="AC338" i="1"/>
  <c r="AR338" i="1" s="1"/>
  <c r="Z339" i="1"/>
  <c r="AO339" i="1" s="1"/>
  <c r="AA339" i="1"/>
  <c r="AP339" i="1" s="1"/>
  <c r="AB339" i="1"/>
  <c r="AQ339" i="1" s="1"/>
  <c r="AC339" i="1"/>
  <c r="AR339" i="1" s="1"/>
  <c r="Z340" i="1"/>
  <c r="AO340" i="1" s="1"/>
  <c r="AA340" i="1"/>
  <c r="AP340" i="1" s="1"/>
  <c r="AB340" i="1"/>
  <c r="AQ340" i="1" s="1"/>
  <c r="AC340" i="1"/>
  <c r="AR340" i="1" s="1"/>
  <c r="Z341" i="1"/>
  <c r="AO341" i="1" s="1"/>
  <c r="AA341" i="1"/>
  <c r="AP341" i="1" s="1"/>
  <c r="AB341" i="1"/>
  <c r="AQ341" i="1" s="1"/>
  <c r="AC341" i="1"/>
  <c r="AR341" i="1" s="1"/>
  <c r="Z342" i="1"/>
  <c r="AO342" i="1" s="1"/>
  <c r="AA342" i="1"/>
  <c r="AP342" i="1" s="1"/>
  <c r="AB342" i="1"/>
  <c r="AQ342" i="1" s="1"/>
  <c r="AC342" i="1"/>
  <c r="AR342" i="1" s="1"/>
  <c r="Z343" i="1"/>
  <c r="AO343" i="1" s="1"/>
  <c r="AA343" i="1"/>
  <c r="AP343" i="1" s="1"/>
  <c r="AB343" i="1"/>
  <c r="AQ343" i="1" s="1"/>
  <c r="AC343" i="1"/>
  <c r="AR343" i="1" s="1"/>
  <c r="Z344" i="1"/>
  <c r="AO344" i="1" s="1"/>
  <c r="AA344" i="1"/>
  <c r="AP344" i="1" s="1"/>
  <c r="AB344" i="1"/>
  <c r="AQ344" i="1" s="1"/>
  <c r="AC344" i="1"/>
  <c r="AR344" i="1" s="1"/>
  <c r="Z345" i="1"/>
  <c r="AO345" i="1" s="1"/>
  <c r="AA345" i="1"/>
  <c r="AP345" i="1" s="1"/>
  <c r="AB345" i="1"/>
  <c r="AQ345" i="1" s="1"/>
  <c r="AC345" i="1"/>
  <c r="AR345" i="1" s="1"/>
  <c r="Z346" i="1"/>
  <c r="AO346" i="1" s="1"/>
  <c r="AA346" i="1"/>
  <c r="AP346" i="1" s="1"/>
  <c r="AB346" i="1"/>
  <c r="AQ346" i="1" s="1"/>
  <c r="AC346" i="1"/>
  <c r="AR346" i="1" s="1"/>
  <c r="Z347" i="1"/>
  <c r="AO347" i="1" s="1"/>
  <c r="AA347" i="1"/>
  <c r="AP347" i="1" s="1"/>
  <c r="AB347" i="1"/>
  <c r="AQ347" i="1" s="1"/>
  <c r="AC347" i="1"/>
  <c r="AR347" i="1" s="1"/>
  <c r="Z348" i="1"/>
  <c r="AO348" i="1" s="1"/>
  <c r="AA348" i="1"/>
  <c r="AP348" i="1" s="1"/>
  <c r="AB348" i="1"/>
  <c r="AQ348" i="1" s="1"/>
  <c r="AC348" i="1"/>
  <c r="AR348" i="1" s="1"/>
  <c r="Z349" i="1"/>
  <c r="AO349" i="1" s="1"/>
  <c r="AA349" i="1"/>
  <c r="AP349" i="1" s="1"/>
  <c r="AB349" i="1"/>
  <c r="AQ349" i="1" s="1"/>
  <c r="AC349" i="1"/>
  <c r="AR349" i="1" s="1"/>
  <c r="Z350" i="1"/>
  <c r="AO350" i="1" s="1"/>
  <c r="AA350" i="1"/>
  <c r="AP350" i="1" s="1"/>
  <c r="AB350" i="1"/>
  <c r="AQ350" i="1" s="1"/>
  <c r="AC350" i="1"/>
  <c r="AR350" i="1" s="1"/>
  <c r="Z351" i="1"/>
  <c r="AO351" i="1" s="1"/>
  <c r="AA351" i="1"/>
  <c r="AP351" i="1" s="1"/>
  <c r="AB351" i="1"/>
  <c r="AQ351" i="1" s="1"/>
  <c r="AC351" i="1"/>
  <c r="AR351" i="1" s="1"/>
  <c r="Z352" i="1"/>
  <c r="AO352" i="1" s="1"/>
  <c r="AA352" i="1"/>
  <c r="AP352" i="1" s="1"/>
  <c r="AB352" i="1"/>
  <c r="AQ352" i="1" s="1"/>
  <c r="AC352" i="1"/>
  <c r="AR352" i="1" s="1"/>
  <c r="Z353" i="1"/>
  <c r="AO353" i="1" s="1"/>
  <c r="AA353" i="1"/>
  <c r="AP353" i="1" s="1"/>
  <c r="AB353" i="1"/>
  <c r="AQ353" i="1" s="1"/>
  <c r="AC353" i="1"/>
  <c r="AR353" i="1" s="1"/>
  <c r="Z354" i="1"/>
  <c r="AO354" i="1" s="1"/>
  <c r="AA354" i="1"/>
  <c r="AP354" i="1" s="1"/>
  <c r="AB354" i="1"/>
  <c r="AQ354" i="1" s="1"/>
  <c r="AC354" i="1"/>
  <c r="AR354" i="1" s="1"/>
  <c r="Z355" i="1"/>
  <c r="AO355" i="1" s="1"/>
  <c r="AA355" i="1"/>
  <c r="AP355" i="1" s="1"/>
  <c r="AB355" i="1"/>
  <c r="AQ355" i="1" s="1"/>
  <c r="AC355" i="1"/>
  <c r="AR355" i="1" s="1"/>
  <c r="Z356" i="1"/>
  <c r="AO356" i="1" s="1"/>
  <c r="U109" i="1"/>
  <c r="AJ109" i="1" s="1"/>
  <c r="W109" i="1"/>
  <c r="AL109" i="1" s="1"/>
  <c r="Y109" i="1"/>
  <c r="AN109" i="1" s="1"/>
  <c r="T110" i="1"/>
  <c r="AI110" i="1" s="1"/>
  <c r="V110" i="1"/>
  <c r="AK110" i="1" s="1"/>
  <c r="X110" i="1"/>
  <c r="AM110" i="1" s="1"/>
  <c r="U111" i="1"/>
  <c r="AJ111" i="1" s="1"/>
  <c r="X111" i="1"/>
  <c r="AM111" i="1" s="1"/>
  <c r="T112" i="1"/>
  <c r="AI112" i="1" s="1"/>
  <c r="W112" i="1"/>
  <c r="AL112" i="1" s="1"/>
  <c r="S113" i="1"/>
  <c r="AH113" i="1" s="1"/>
  <c r="V113" i="1"/>
  <c r="AK113" i="1" s="1"/>
  <c r="Y113" i="1"/>
  <c r="AN113" i="1" s="1"/>
  <c r="T114" i="1"/>
  <c r="AI114" i="1" s="1"/>
  <c r="W114" i="1"/>
  <c r="AL114" i="1" s="1"/>
  <c r="Y114" i="1"/>
  <c r="AN114" i="1" s="1"/>
  <c r="V115" i="1"/>
  <c r="AK115" i="1" s="1"/>
  <c r="Y115" i="1"/>
  <c r="AN115" i="1" s="1"/>
  <c r="T116" i="1"/>
  <c r="AI116" i="1" s="1"/>
  <c r="X116" i="1"/>
  <c r="AM116" i="1" s="1"/>
  <c r="T117" i="1"/>
  <c r="AI117" i="1" s="1"/>
  <c r="W117" i="1"/>
  <c r="AL117" i="1" s="1"/>
  <c r="Y117" i="1"/>
  <c r="AN117" i="1" s="1"/>
  <c r="U118" i="1"/>
  <c r="AJ118" i="1" s="1"/>
  <c r="X118" i="1"/>
  <c r="AM118" i="1" s="1"/>
  <c r="S119" i="1"/>
  <c r="AH119" i="1" s="1"/>
  <c r="V119" i="1"/>
  <c r="AK119" i="1" s="1"/>
  <c r="S120" i="1"/>
  <c r="AH120" i="1" s="1"/>
  <c r="U120" i="1"/>
  <c r="AJ120" i="1" s="1"/>
  <c r="S121" i="1"/>
  <c r="AH121" i="1" s="1"/>
  <c r="X121" i="1"/>
  <c r="AM121" i="1" s="1"/>
  <c r="T122" i="1"/>
  <c r="AI122" i="1" s="1"/>
  <c r="V122" i="1"/>
  <c r="AK122" i="1" s="1"/>
  <c r="Y122" i="1"/>
  <c r="AN122" i="1" s="1"/>
  <c r="U123" i="1"/>
  <c r="AJ123" i="1" s="1"/>
  <c r="Y123" i="1"/>
  <c r="AN123" i="1" s="1"/>
  <c r="T124" i="1"/>
  <c r="AI124" i="1" s="1"/>
  <c r="W124" i="1"/>
  <c r="AL124" i="1" s="1"/>
  <c r="Y124" i="1"/>
  <c r="AN124" i="1" s="1"/>
  <c r="T125" i="1"/>
  <c r="AI125" i="1" s="1"/>
  <c r="W125" i="1"/>
  <c r="AL125" i="1" s="1"/>
  <c r="S126" i="1"/>
  <c r="AH126" i="1" s="1"/>
  <c r="W126" i="1"/>
  <c r="AL126" i="1" s="1"/>
  <c r="Y126" i="1"/>
  <c r="AN126" i="1" s="1"/>
  <c r="U127" i="1"/>
  <c r="AJ127" i="1" s="1"/>
  <c r="X127" i="1"/>
  <c r="AM127" i="1" s="1"/>
  <c r="S128" i="1"/>
  <c r="AH128" i="1" s="1"/>
  <c r="W128" i="1"/>
  <c r="AL128" i="1" s="1"/>
  <c r="T129" i="1"/>
  <c r="AI129" i="1" s="1"/>
  <c r="W129" i="1"/>
  <c r="AL129" i="1" s="1"/>
  <c r="Y129" i="1"/>
  <c r="AN129" i="1" s="1"/>
  <c r="U130" i="1"/>
  <c r="AJ130" i="1" s="1"/>
  <c r="W130" i="1"/>
  <c r="AL130" i="1" s="1"/>
  <c r="S131" i="1"/>
  <c r="AH131" i="1" s="1"/>
  <c r="W131" i="1"/>
  <c r="AL131" i="1" s="1"/>
  <c r="S132" i="1"/>
  <c r="AH132" i="1" s="1"/>
  <c r="V132" i="1"/>
  <c r="AK132" i="1" s="1"/>
  <c r="S133" i="1"/>
  <c r="AH133" i="1" s="1"/>
  <c r="U133" i="1"/>
  <c r="AJ133" i="1" s="1"/>
  <c r="X133" i="1"/>
  <c r="AM133" i="1" s="1"/>
  <c r="S134" i="1"/>
  <c r="AH134" i="1" s="1"/>
  <c r="V134" i="1"/>
  <c r="AK134" i="1" s="1"/>
  <c r="X134" i="1"/>
  <c r="AM134" i="1" s="1"/>
  <c r="U135" i="1"/>
  <c r="AJ135" i="1" s="1"/>
  <c r="W135" i="1"/>
  <c r="AL135" i="1" s="1"/>
  <c r="S136" i="1"/>
  <c r="AH136" i="1" s="1"/>
  <c r="W136" i="1"/>
  <c r="AL136" i="1" s="1"/>
  <c r="Y136" i="1"/>
  <c r="AN136" i="1" s="1"/>
  <c r="U137" i="1"/>
  <c r="AJ137" i="1" s="1"/>
  <c r="Y137" i="1"/>
  <c r="AN137" i="1" s="1"/>
  <c r="V138" i="1"/>
  <c r="AK138" i="1" s="1"/>
  <c r="Y138" i="1"/>
  <c r="AN138" i="1" s="1"/>
  <c r="T139" i="1"/>
  <c r="AI139" i="1" s="1"/>
  <c r="W139" i="1"/>
  <c r="AL139" i="1" s="1"/>
  <c r="S140" i="1"/>
  <c r="AH140" i="1" s="1"/>
  <c r="V140" i="1"/>
  <c r="AK140" i="1" s="1"/>
  <c r="X140" i="1"/>
  <c r="AM140" i="1" s="1"/>
  <c r="T141" i="1"/>
  <c r="AI141" i="1" s="1"/>
  <c r="V141" i="1"/>
  <c r="AK141" i="1" s="1"/>
  <c r="X141" i="1"/>
  <c r="AM141" i="1" s="1"/>
  <c r="T142" i="1"/>
  <c r="AI142" i="1" s="1"/>
  <c r="X142" i="1"/>
  <c r="AM142" i="1" s="1"/>
  <c r="S143" i="1"/>
  <c r="AH143" i="1" s="1"/>
  <c r="V143" i="1"/>
  <c r="AK143" i="1" s="1"/>
  <c r="Y143" i="1"/>
  <c r="AN143" i="1" s="1"/>
  <c r="T144" i="1"/>
  <c r="AI144" i="1" s="1"/>
  <c r="W144" i="1"/>
  <c r="AL144" i="1" s="1"/>
  <c r="S145" i="1"/>
  <c r="AH145" i="1" s="1"/>
  <c r="V145" i="1"/>
  <c r="AK145" i="1" s="1"/>
  <c r="Y145" i="1"/>
  <c r="AN145" i="1" s="1"/>
  <c r="T146" i="1"/>
  <c r="AI146" i="1" s="1"/>
  <c r="W146" i="1"/>
  <c r="AL146" i="1" s="1"/>
  <c r="S147" i="1"/>
  <c r="AH147" i="1" s="1"/>
  <c r="U147" i="1"/>
  <c r="AJ147" i="1" s="1"/>
  <c r="X147" i="1"/>
  <c r="AM147" i="1" s="1"/>
  <c r="S148" i="1"/>
  <c r="AH148" i="1" s="1"/>
  <c r="V148" i="1"/>
  <c r="AK148" i="1" s="1"/>
  <c r="S149" i="1"/>
  <c r="AH149" i="1" s="1"/>
  <c r="U149" i="1"/>
  <c r="AJ149" i="1" s="1"/>
  <c r="X149" i="1"/>
  <c r="AM149" i="1" s="1"/>
  <c r="T150" i="1"/>
  <c r="AI150" i="1" s="1"/>
  <c r="V150" i="1"/>
  <c r="AK150" i="1" s="1"/>
  <c r="S151" i="1"/>
  <c r="AH151" i="1" s="1"/>
  <c r="V151" i="1"/>
  <c r="AK151" i="1" s="1"/>
  <c r="Y151" i="1"/>
  <c r="AN151" i="1" s="1"/>
  <c r="V152" i="1"/>
  <c r="AK152" i="1" s="1"/>
  <c r="X152" i="1"/>
  <c r="AM152" i="1" s="1"/>
  <c r="V153" i="1"/>
  <c r="AK153" i="1" s="1"/>
  <c r="S154" i="1"/>
  <c r="AH154" i="1" s="1"/>
  <c r="V154" i="1"/>
  <c r="AK154" i="1" s="1"/>
  <c r="Y154" i="1"/>
  <c r="AN154" i="1" s="1"/>
  <c r="T155" i="1"/>
  <c r="AI155" i="1" s="1"/>
  <c r="W155" i="1"/>
  <c r="AL155" i="1" s="1"/>
  <c r="Y155" i="1"/>
  <c r="AN155" i="1" s="1"/>
  <c r="U156" i="1"/>
  <c r="AJ156" i="1" s="1"/>
  <c r="W156" i="1"/>
  <c r="AL156" i="1" s="1"/>
  <c r="Y156" i="1"/>
  <c r="AN156" i="1" s="1"/>
  <c r="U157" i="1"/>
  <c r="AJ157" i="1" s="1"/>
  <c r="Y157" i="1"/>
  <c r="AN157" i="1" s="1"/>
  <c r="U158" i="1"/>
  <c r="AJ158" i="1" s="1"/>
  <c r="S159" i="1"/>
  <c r="AH159" i="1" s="1"/>
  <c r="U159" i="1"/>
  <c r="AJ159" i="1" s="1"/>
  <c r="X159" i="1"/>
  <c r="AM159" i="1" s="1"/>
  <c r="T160" i="1"/>
  <c r="AI160" i="1" s="1"/>
  <c r="V160" i="1"/>
  <c r="AK160" i="1" s="1"/>
  <c r="Y160" i="1"/>
  <c r="AN160" i="1" s="1"/>
  <c r="U161" i="1"/>
  <c r="AJ161" i="1" s="1"/>
  <c r="X161" i="1"/>
  <c r="AM161" i="1" s="1"/>
  <c r="U202" i="1"/>
  <c r="AJ202" i="1" s="1"/>
  <c r="W202" i="1"/>
  <c r="AL202" i="1" s="1"/>
  <c r="S203" i="1"/>
  <c r="AH203" i="1" s="1"/>
  <c r="U203" i="1"/>
  <c r="AJ203" i="1" s="1"/>
  <c r="X203" i="1"/>
  <c r="AM203" i="1" s="1"/>
  <c r="V204" i="1"/>
  <c r="AK204" i="1" s="1"/>
  <c r="X204" i="1"/>
  <c r="AM204" i="1" s="1"/>
  <c r="U205" i="1"/>
  <c r="AJ205" i="1" s="1"/>
  <c r="Y205" i="1"/>
  <c r="AN205" i="1" s="1"/>
  <c r="X206" i="1"/>
  <c r="AM206" i="1" s="1"/>
  <c r="T207" i="1"/>
  <c r="AI207" i="1" s="1"/>
  <c r="Y209" i="1"/>
  <c r="AN209" i="1" s="1"/>
  <c r="W210" i="1"/>
  <c r="AL210" i="1" s="1"/>
  <c r="W212" i="1"/>
  <c r="AL212" i="1" s="1"/>
  <c r="S213" i="1"/>
  <c r="AH213" i="1" s="1"/>
  <c r="S214" i="1"/>
  <c r="AH214" i="1" s="1"/>
  <c r="S215" i="1"/>
  <c r="AH215" i="1" s="1"/>
  <c r="S216" i="1"/>
  <c r="AH216" i="1" s="1"/>
  <c r="S217" i="1"/>
  <c r="AH217" i="1" s="1"/>
  <c r="T218" i="1"/>
  <c r="AI218" i="1" s="1"/>
  <c r="T220" i="1"/>
  <c r="AI220" i="1" s="1"/>
  <c r="T221" i="1"/>
  <c r="AI221" i="1" s="1"/>
  <c r="S222" i="1"/>
  <c r="AH222" i="1" s="1"/>
  <c r="T223" i="1"/>
  <c r="AI223" i="1" s="1"/>
  <c r="S224" i="1"/>
  <c r="AH224" i="1" s="1"/>
  <c r="T225" i="1"/>
  <c r="AI225" i="1" s="1"/>
  <c r="T228" i="1"/>
  <c r="AI228" i="1" s="1"/>
  <c r="S230" i="1"/>
  <c r="AH230" i="1" s="1"/>
  <c r="AA356" i="1"/>
  <c r="AP356" i="1" s="1"/>
  <c r="AB356" i="1"/>
  <c r="AQ356" i="1" s="1"/>
  <c r="AC356" i="1"/>
  <c r="AR356" i="1" s="1"/>
  <c r="Z357" i="1"/>
  <c r="AO357" i="1" s="1"/>
  <c r="AA357" i="1"/>
  <c r="AP357" i="1" s="1"/>
  <c r="AB357" i="1"/>
  <c r="AQ357" i="1" s="1"/>
  <c r="AC357" i="1"/>
  <c r="AR357" i="1" s="1"/>
  <c r="Z358" i="1"/>
  <c r="AO358" i="1" s="1"/>
  <c r="AA358" i="1"/>
  <c r="AP358" i="1" s="1"/>
  <c r="AB358" i="1"/>
  <c r="AQ358" i="1" s="1"/>
  <c r="AC358" i="1"/>
  <c r="AR358" i="1" s="1"/>
  <c r="Z359" i="1"/>
  <c r="AO359" i="1" s="1"/>
  <c r="AA359" i="1"/>
  <c r="AP359" i="1" s="1"/>
  <c r="AB359" i="1"/>
  <c r="AQ359" i="1" s="1"/>
  <c r="AC359" i="1"/>
  <c r="AR359" i="1" s="1"/>
  <c r="Z360" i="1"/>
  <c r="AO360" i="1" s="1"/>
  <c r="AA360" i="1"/>
  <c r="AP360" i="1" s="1"/>
  <c r="AB360" i="1"/>
  <c r="AQ360" i="1" s="1"/>
  <c r="AC360" i="1"/>
  <c r="AR360" i="1" s="1"/>
  <c r="Z361" i="1"/>
  <c r="AO361" i="1" s="1"/>
  <c r="AA361" i="1"/>
  <c r="AP361" i="1" s="1"/>
  <c r="AB361" i="1"/>
  <c r="AQ361" i="1" s="1"/>
  <c r="AC361" i="1"/>
  <c r="AR361" i="1" s="1"/>
  <c r="Z362" i="1"/>
  <c r="AO362" i="1" s="1"/>
  <c r="AA362" i="1"/>
  <c r="AP362" i="1" s="1"/>
  <c r="AB362" i="1"/>
  <c r="AQ362" i="1" s="1"/>
  <c r="AC362" i="1"/>
  <c r="AR362" i="1" s="1"/>
  <c r="Z363" i="1"/>
  <c r="AO363" i="1" s="1"/>
  <c r="AA363" i="1"/>
  <c r="AP363" i="1" s="1"/>
  <c r="AB363" i="1"/>
  <c r="AQ363" i="1" s="1"/>
  <c r="AC363" i="1"/>
  <c r="AR363" i="1" s="1"/>
  <c r="Z364" i="1"/>
  <c r="AO364" i="1" s="1"/>
  <c r="AA364" i="1"/>
  <c r="AP364" i="1" s="1"/>
  <c r="AB364" i="1"/>
  <c r="AQ364" i="1" s="1"/>
  <c r="AC364" i="1"/>
  <c r="AR364" i="1" s="1"/>
  <c r="Z365" i="1"/>
  <c r="AO365" i="1" s="1"/>
  <c r="AA365" i="1"/>
  <c r="AP365" i="1" s="1"/>
  <c r="AB365" i="1"/>
  <c r="AQ365" i="1" s="1"/>
  <c r="AC365" i="1"/>
  <c r="AR365" i="1" s="1"/>
  <c r="Z366" i="1"/>
  <c r="AO366" i="1" s="1"/>
  <c r="AA366" i="1"/>
  <c r="AP366" i="1" s="1"/>
  <c r="AB366" i="1"/>
  <c r="AQ366" i="1" s="1"/>
  <c r="AC366" i="1"/>
  <c r="AR366" i="1" s="1"/>
  <c r="Z367" i="1"/>
  <c r="AO367" i="1" s="1"/>
  <c r="AA367" i="1"/>
  <c r="AP367" i="1" s="1"/>
  <c r="AB367" i="1"/>
  <c r="AQ367" i="1" s="1"/>
  <c r="AC367" i="1"/>
  <c r="AR367" i="1" s="1"/>
  <c r="Z368" i="1"/>
  <c r="AO368" i="1" s="1"/>
  <c r="AA368" i="1"/>
  <c r="AP368" i="1" s="1"/>
  <c r="AB368" i="1"/>
  <c r="AQ368" i="1" s="1"/>
  <c r="AC368" i="1"/>
  <c r="AR368" i="1" s="1"/>
  <c r="Z369" i="1"/>
  <c r="AO369" i="1" s="1"/>
  <c r="AA369" i="1"/>
  <c r="AP369" i="1" s="1"/>
  <c r="AB369" i="1"/>
  <c r="AQ369" i="1" s="1"/>
  <c r="AC369" i="1"/>
  <c r="AR369" i="1" s="1"/>
  <c r="Z370" i="1"/>
  <c r="AO370" i="1" s="1"/>
  <c r="AA370" i="1"/>
  <c r="AP370" i="1" s="1"/>
  <c r="AB370" i="1"/>
  <c r="AQ370" i="1" s="1"/>
  <c r="AC370" i="1"/>
  <c r="AR370" i="1" s="1"/>
  <c r="Z371" i="1"/>
  <c r="AO371" i="1" s="1"/>
  <c r="AA371" i="1"/>
  <c r="AP371" i="1" s="1"/>
  <c r="AB371" i="1"/>
  <c r="AQ371" i="1" s="1"/>
  <c r="AC371" i="1"/>
  <c r="AR371" i="1" s="1"/>
  <c r="Z372" i="1"/>
  <c r="AO372" i="1" s="1"/>
  <c r="AA372" i="1"/>
  <c r="AP372" i="1" s="1"/>
  <c r="AB372" i="1"/>
  <c r="AQ372" i="1" s="1"/>
  <c r="AC372" i="1"/>
  <c r="AR372" i="1" s="1"/>
  <c r="Z373" i="1"/>
  <c r="AO373" i="1" s="1"/>
  <c r="AA373" i="1"/>
  <c r="AP373" i="1" s="1"/>
  <c r="AB373" i="1"/>
  <c r="AQ373" i="1" s="1"/>
  <c r="AC373" i="1"/>
  <c r="AR373" i="1" s="1"/>
  <c r="Z374" i="1"/>
  <c r="AO374" i="1" s="1"/>
  <c r="AA374" i="1"/>
  <c r="AP374" i="1" s="1"/>
  <c r="AB374" i="1"/>
  <c r="AQ374" i="1" s="1"/>
  <c r="AC374" i="1"/>
  <c r="AR374" i="1" s="1"/>
  <c r="Z375" i="1"/>
  <c r="AO375" i="1" s="1"/>
  <c r="AA375" i="1"/>
  <c r="AP375" i="1" s="1"/>
  <c r="AB375" i="1"/>
  <c r="AQ375" i="1" s="1"/>
  <c r="AC375" i="1"/>
  <c r="AR375" i="1" s="1"/>
  <c r="Z376" i="1"/>
  <c r="AO376" i="1" s="1"/>
  <c r="AA376" i="1"/>
  <c r="AP376" i="1" s="1"/>
  <c r="AB376" i="1"/>
  <c r="AQ376" i="1" s="1"/>
  <c r="AC376" i="1"/>
  <c r="AR376" i="1" s="1"/>
  <c r="Z377" i="1"/>
  <c r="AO377" i="1" s="1"/>
  <c r="AA377" i="1"/>
  <c r="AP377" i="1" s="1"/>
  <c r="AB377" i="1"/>
  <c r="AQ377" i="1" s="1"/>
  <c r="AC377" i="1"/>
  <c r="AR377" i="1" s="1"/>
  <c r="Z378" i="1"/>
  <c r="AO378" i="1" s="1"/>
  <c r="AA378" i="1"/>
  <c r="AP378" i="1" s="1"/>
  <c r="AB378" i="1"/>
  <c r="AQ378" i="1" s="1"/>
  <c r="AC378" i="1"/>
  <c r="AR378" i="1" s="1"/>
  <c r="Z379" i="1"/>
  <c r="AO379" i="1" s="1"/>
  <c r="AA379" i="1"/>
  <c r="AP379" i="1" s="1"/>
  <c r="AB379" i="1"/>
  <c r="AQ379" i="1" s="1"/>
  <c r="AC379" i="1"/>
  <c r="AR379" i="1" s="1"/>
  <c r="Z380" i="1"/>
  <c r="AO380" i="1" s="1"/>
  <c r="AA380" i="1"/>
  <c r="AP380" i="1" s="1"/>
  <c r="AB380" i="1"/>
  <c r="AQ380" i="1" s="1"/>
  <c r="AC380" i="1"/>
  <c r="AR380" i="1" s="1"/>
  <c r="Z381" i="1"/>
  <c r="AO381" i="1" s="1"/>
  <c r="AA381" i="1"/>
  <c r="AP381" i="1" s="1"/>
  <c r="AB381" i="1"/>
  <c r="AQ381" i="1" s="1"/>
  <c r="AC381" i="1"/>
  <c r="AR381" i="1" s="1"/>
  <c r="Z382" i="1"/>
  <c r="AO382" i="1" s="1"/>
  <c r="AA382" i="1"/>
  <c r="AP382" i="1" s="1"/>
  <c r="AB382" i="1"/>
  <c r="AQ382" i="1" s="1"/>
  <c r="AC382" i="1"/>
  <c r="AR382" i="1" s="1"/>
  <c r="Z383" i="1"/>
  <c r="AO383" i="1" s="1"/>
  <c r="AA383" i="1"/>
  <c r="AP383" i="1" s="1"/>
  <c r="AB383" i="1"/>
  <c r="AQ383" i="1" s="1"/>
  <c r="AC383" i="1"/>
  <c r="AR383" i="1" s="1"/>
  <c r="Z384" i="1"/>
  <c r="AO384" i="1" s="1"/>
  <c r="AA384" i="1"/>
  <c r="AP384" i="1" s="1"/>
  <c r="AB384" i="1"/>
  <c r="AQ384" i="1" s="1"/>
  <c r="AC384" i="1"/>
  <c r="AR384" i="1" s="1"/>
  <c r="Z385" i="1"/>
  <c r="AO385" i="1" s="1"/>
  <c r="AA385" i="1"/>
  <c r="AP385" i="1" s="1"/>
  <c r="AB385" i="1"/>
  <c r="AQ385" i="1" s="1"/>
  <c r="AC385" i="1"/>
  <c r="AR385" i="1" s="1"/>
  <c r="Z386" i="1"/>
  <c r="AO386" i="1" s="1"/>
  <c r="AA386" i="1"/>
  <c r="AP386" i="1" s="1"/>
  <c r="AB386" i="1"/>
  <c r="AQ386" i="1" s="1"/>
  <c r="AC386" i="1"/>
  <c r="AR386" i="1" s="1"/>
  <c r="Z387" i="1"/>
  <c r="AO387" i="1" s="1"/>
  <c r="AA387" i="1"/>
  <c r="AP387" i="1" s="1"/>
  <c r="AB387" i="1"/>
  <c r="AQ387" i="1" s="1"/>
  <c r="AC387" i="1"/>
  <c r="AR387" i="1" s="1"/>
  <c r="Z388" i="1"/>
  <c r="AO388" i="1" s="1"/>
  <c r="AA388" i="1"/>
  <c r="AP388" i="1" s="1"/>
  <c r="AB388" i="1"/>
  <c r="AQ388" i="1" s="1"/>
  <c r="AC388" i="1"/>
  <c r="AR388" i="1" s="1"/>
  <c r="Z389" i="1"/>
  <c r="AO389" i="1" s="1"/>
  <c r="AA389" i="1"/>
  <c r="AP389" i="1" s="1"/>
  <c r="AB389" i="1"/>
  <c r="AQ389" i="1" s="1"/>
  <c r="AC389" i="1"/>
  <c r="AR389" i="1" s="1"/>
  <c r="Z390" i="1"/>
  <c r="AO390" i="1" s="1"/>
  <c r="AA390" i="1"/>
  <c r="AP390" i="1" s="1"/>
  <c r="AB390" i="1"/>
  <c r="AQ390" i="1" s="1"/>
  <c r="AC390" i="1"/>
  <c r="AR390" i="1" s="1"/>
  <c r="Z391" i="1"/>
  <c r="AO391" i="1" s="1"/>
  <c r="AA391" i="1"/>
  <c r="AP391" i="1" s="1"/>
  <c r="AB391" i="1"/>
  <c r="AQ391" i="1" s="1"/>
  <c r="AC391" i="1"/>
  <c r="AR391" i="1" s="1"/>
  <c r="Z392" i="1"/>
  <c r="AO392" i="1" s="1"/>
  <c r="AA392" i="1"/>
  <c r="AP392" i="1" s="1"/>
  <c r="AB392" i="1"/>
  <c r="AQ392" i="1" s="1"/>
  <c r="AC392" i="1"/>
  <c r="AR392" i="1" s="1"/>
  <c r="Z393" i="1"/>
  <c r="AO393" i="1" s="1"/>
  <c r="AA393" i="1"/>
  <c r="AP393" i="1" s="1"/>
  <c r="AB393" i="1"/>
  <c r="AQ393" i="1" s="1"/>
  <c r="AC393" i="1"/>
  <c r="AR393" i="1" s="1"/>
  <c r="Z394" i="1"/>
  <c r="AO394" i="1" s="1"/>
  <c r="AA394" i="1"/>
  <c r="AP394" i="1" s="1"/>
  <c r="AB394" i="1"/>
  <c r="AQ394" i="1" s="1"/>
  <c r="AC394" i="1"/>
  <c r="AR394" i="1" s="1"/>
  <c r="Z395" i="1"/>
  <c r="AO395" i="1" s="1"/>
  <c r="AA395" i="1"/>
  <c r="AP395" i="1" s="1"/>
  <c r="AB395" i="1"/>
  <c r="AQ395" i="1" s="1"/>
  <c r="AC395" i="1"/>
  <c r="AR395" i="1" s="1"/>
  <c r="Z396" i="1"/>
  <c r="AO396" i="1" s="1"/>
  <c r="AA396" i="1"/>
  <c r="AP396" i="1" s="1"/>
  <c r="AB396" i="1"/>
  <c r="AQ396" i="1" s="1"/>
  <c r="AC396" i="1"/>
  <c r="AR396" i="1" s="1"/>
  <c r="Z397" i="1"/>
  <c r="AO397" i="1" s="1"/>
  <c r="AA397" i="1"/>
  <c r="AP397" i="1" s="1"/>
  <c r="AB397" i="1"/>
  <c r="AQ397" i="1" s="1"/>
  <c r="AC397" i="1"/>
  <c r="AR397" i="1" s="1"/>
  <c r="Z398" i="1"/>
  <c r="AO398" i="1" s="1"/>
  <c r="AA398" i="1"/>
  <c r="AP398" i="1" s="1"/>
  <c r="AB398" i="1"/>
  <c r="AQ398" i="1" s="1"/>
  <c r="AC398" i="1"/>
  <c r="AR398" i="1" s="1"/>
  <c r="Z399" i="1"/>
  <c r="AO399" i="1" s="1"/>
  <c r="AA399" i="1"/>
  <c r="AP399" i="1" s="1"/>
  <c r="AB399" i="1"/>
  <c r="AQ399" i="1" s="1"/>
  <c r="AC399" i="1"/>
  <c r="AR399" i="1" s="1"/>
  <c r="Z400" i="1"/>
  <c r="AO400" i="1" s="1"/>
  <c r="AA400" i="1"/>
  <c r="AP400" i="1" s="1"/>
  <c r="AB400" i="1"/>
  <c r="AQ400" i="1" s="1"/>
  <c r="AC400" i="1"/>
  <c r="AR400" i="1" s="1"/>
  <c r="Z401" i="1"/>
  <c r="AO401" i="1" s="1"/>
  <c r="AA401" i="1"/>
  <c r="AP401" i="1" s="1"/>
  <c r="AB401" i="1"/>
  <c r="AQ401" i="1" s="1"/>
  <c r="AC401" i="1"/>
  <c r="AR401" i="1" s="1"/>
  <c r="Z402" i="1"/>
  <c r="AO402" i="1" s="1"/>
  <c r="AA402" i="1"/>
  <c r="AP402" i="1" s="1"/>
  <c r="AB402" i="1"/>
  <c r="AQ402" i="1" s="1"/>
  <c r="AC402" i="1"/>
  <c r="AR402" i="1" s="1"/>
  <c r="Z403" i="1"/>
  <c r="AO403" i="1" s="1"/>
  <c r="AA403" i="1"/>
  <c r="AP403" i="1" s="1"/>
  <c r="AB403" i="1"/>
  <c r="AQ403" i="1" s="1"/>
  <c r="AC403" i="1"/>
  <c r="AR403" i="1" s="1"/>
  <c r="Z404" i="1"/>
  <c r="AO404" i="1" s="1"/>
  <c r="AA404" i="1"/>
  <c r="AP404" i="1" s="1"/>
  <c r="AB404" i="1"/>
  <c r="AQ404" i="1" s="1"/>
  <c r="AC404" i="1"/>
  <c r="AR404" i="1" s="1"/>
  <c r="Z405" i="1"/>
  <c r="AO405" i="1" s="1"/>
  <c r="AA405" i="1"/>
  <c r="AP405" i="1" s="1"/>
  <c r="AB405" i="1"/>
  <c r="AQ405" i="1" s="1"/>
  <c r="AC405" i="1"/>
  <c r="AR405" i="1" s="1"/>
  <c r="Z406" i="1"/>
  <c r="AO406" i="1" s="1"/>
  <c r="AA406" i="1"/>
  <c r="AP406" i="1" s="1"/>
  <c r="AB406" i="1"/>
  <c r="AQ406" i="1" s="1"/>
  <c r="AC406" i="1"/>
  <c r="AR406" i="1" s="1"/>
  <c r="Z407" i="1"/>
  <c r="AO407" i="1" s="1"/>
  <c r="AA407" i="1"/>
  <c r="AP407" i="1" s="1"/>
  <c r="AB407" i="1"/>
  <c r="AQ407" i="1" s="1"/>
  <c r="AC407" i="1"/>
  <c r="AR407" i="1" s="1"/>
  <c r="Z408" i="1"/>
  <c r="AO408" i="1" s="1"/>
  <c r="AA408" i="1"/>
  <c r="AP408" i="1" s="1"/>
  <c r="AB408" i="1"/>
  <c r="AQ408" i="1" s="1"/>
  <c r="AC408" i="1"/>
  <c r="AR408" i="1" s="1"/>
  <c r="Z409" i="1"/>
  <c r="AO409" i="1" s="1"/>
  <c r="AA409" i="1"/>
  <c r="AP409" i="1" s="1"/>
  <c r="AB409" i="1"/>
  <c r="AQ409" i="1" s="1"/>
  <c r="AC409" i="1"/>
  <c r="AR409" i="1" s="1"/>
  <c r="Z410" i="1"/>
  <c r="AO410" i="1" s="1"/>
  <c r="AA410" i="1"/>
  <c r="AP410" i="1" s="1"/>
  <c r="AB410" i="1"/>
  <c r="AQ410" i="1" s="1"/>
  <c r="AC410" i="1"/>
  <c r="AR410" i="1" s="1"/>
  <c r="Z411" i="1"/>
  <c r="AO411" i="1" s="1"/>
  <c r="AA411" i="1"/>
  <c r="AP411" i="1" s="1"/>
  <c r="AB411" i="1"/>
  <c r="AQ411" i="1" s="1"/>
  <c r="AC411" i="1"/>
  <c r="AR411" i="1" s="1"/>
  <c r="Z412" i="1"/>
  <c r="AO412" i="1" s="1"/>
  <c r="AA412" i="1"/>
  <c r="AP412" i="1" s="1"/>
  <c r="AB412" i="1"/>
  <c r="AQ412" i="1" s="1"/>
  <c r="AC412" i="1"/>
  <c r="AR412" i="1" s="1"/>
  <c r="Z413" i="1"/>
  <c r="AO413" i="1" s="1"/>
  <c r="AA413" i="1"/>
  <c r="AP413" i="1" s="1"/>
  <c r="AB413" i="1"/>
  <c r="AQ413" i="1" s="1"/>
  <c r="AC413" i="1"/>
  <c r="AR413" i="1" s="1"/>
  <c r="Z414" i="1"/>
  <c r="AO414" i="1" s="1"/>
  <c r="AA414" i="1"/>
  <c r="AP414" i="1" s="1"/>
  <c r="AB414" i="1"/>
  <c r="AQ414" i="1" s="1"/>
  <c r="AC414" i="1"/>
  <c r="AR414" i="1" s="1"/>
  <c r="Z415" i="1"/>
  <c r="AO415" i="1" s="1"/>
  <c r="AA415" i="1"/>
  <c r="AP415" i="1" s="1"/>
  <c r="AB415" i="1"/>
  <c r="AQ415" i="1" s="1"/>
  <c r="AC415" i="1"/>
  <c r="AR415" i="1" s="1"/>
  <c r="Z416" i="1"/>
  <c r="AO416" i="1" s="1"/>
  <c r="AA416" i="1"/>
  <c r="AP416" i="1" s="1"/>
  <c r="AB416" i="1"/>
  <c r="AQ416" i="1" s="1"/>
  <c r="AC416" i="1"/>
  <c r="AR416" i="1" s="1"/>
  <c r="Z417" i="1"/>
  <c r="AO417" i="1" s="1"/>
  <c r="AA417" i="1"/>
  <c r="AP417" i="1" s="1"/>
  <c r="AB417" i="1"/>
  <c r="AQ417" i="1" s="1"/>
  <c r="AC417" i="1"/>
  <c r="AR417" i="1" s="1"/>
  <c r="Z418" i="1"/>
  <c r="AO418" i="1" s="1"/>
  <c r="AA418" i="1"/>
  <c r="AP418" i="1" s="1"/>
  <c r="AB418" i="1"/>
  <c r="AQ418" i="1" s="1"/>
  <c r="AC418" i="1"/>
  <c r="AR418" i="1" s="1"/>
  <c r="Z419" i="1"/>
  <c r="AO419" i="1" s="1"/>
  <c r="AA419" i="1"/>
  <c r="AP419" i="1" s="1"/>
  <c r="AB419" i="1"/>
  <c r="AQ419" i="1" s="1"/>
  <c r="AC419" i="1"/>
  <c r="AR419" i="1" s="1"/>
  <c r="Z420" i="1"/>
  <c r="AO420" i="1" s="1"/>
  <c r="AA420" i="1"/>
  <c r="AP420" i="1" s="1"/>
  <c r="AB420" i="1"/>
  <c r="AQ420" i="1" s="1"/>
  <c r="AC420" i="1"/>
  <c r="AR420" i="1" s="1"/>
  <c r="Z421" i="1"/>
  <c r="AO421" i="1" s="1"/>
  <c r="AA421" i="1"/>
  <c r="AP421" i="1" s="1"/>
  <c r="AB421" i="1"/>
  <c r="AQ421" i="1" s="1"/>
  <c r="AC421" i="1"/>
  <c r="AR421" i="1" s="1"/>
  <c r="Z422" i="1"/>
  <c r="AO422" i="1" s="1"/>
  <c r="AA422" i="1"/>
  <c r="AP422" i="1" s="1"/>
  <c r="AB422" i="1"/>
  <c r="AQ422" i="1" s="1"/>
  <c r="AC422" i="1"/>
  <c r="AR422" i="1" s="1"/>
  <c r="Z423" i="1"/>
  <c r="AO423" i="1" s="1"/>
  <c r="AA423" i="1"/>
  <c r="AP423" i="1" s="1"/>
  <c r="AB423" i="1"/>
  <c r="AQ423" i="1" s="1"/>
  <c r="AC423" i="1"/>
  <c r="AR423" i="1" s="1"/>
  <c r="Z424" i="1"/>
  <c r="AO424" i="1" s="1"/>
  <c r="AA424" i="1"/>
  <c r="AP424" i="1" s="1"/>
  <c r="AB424" i="1"/>
  <c r="AQ424" i="1" s="1"/>
  <c r="AC424" i="1"/>
  <c r="AR424" i="1" s="1"/>
  <c r="Z425" i="1"/>
  <c r="AO425" i="1" s="1"/>
  <c r="AA425" i="1"/>
  <c r="AP425" i="1" s="1"/>
  <c r="AB425" i="1"/>
  <c r="AQ425" i="1" s="1"/>
  <c r="AC425" i="1"/>
  <c r="AR425" i="1" s="1"/>
  <c r="Z426" i="1"/>
  <c r="AO426" i="1" s="1"/>
  <c r="AA426" i="1"/>
  <c r="AP426" i="1" s="1"/>
  <c r="AB426" i="1"/>
  <c r="AQ426" i="1" s="1"/>
  <c r="AC426" i="1"/>
  <c r="AR426" i="1" s="1"/>
  <c r="Z427" i="1"/>
  <c r="AO427" i="1" s="1"/>
  <c r="AA427" i="1"/>
  <c r="AP427" i="1" s="1"/>
  <c r="AB427" i="1"/>
  <c r="AQ427" i="1" s="1"/>
  <c r="AC427" i="1"/>
  <c r="AR427" i="1" s="1"/>
  <c r="Z428" i="1"/>
  <c r="AO428" i="1" s="1"/>
  <c r="AA428" i="1"/>
  <c r="AP428" i="1" s="1"/>
  <c r="AB428" i="1"/>
  <c r="AQ428" i="1" s="1"/>
  <c r="AC428" i="1"/>
  <c r="AR428" i="1" s="1"/>
  <c r="Z429" i="1"/>
  <c r="AO429" i="1" s="1"/>
  <c r="AA429" i="1"/>
  <c r="AP429" i="1" s="1"/>
  <c r="AB429" i="1"/>
  <c r="AQ429" i="1" s="1"/>
  <c r="AC429" i="1"/>
  <c r="AR429" i="1" s="1"/>
  <c r="Z430" i="1"/>
  <c r="AO430" i="1" s="1"/>
  <c r="AA430" i="1"/>
  <c r="AP430" i="1" s="1"/>
  <c r="AB430" i="1"/>
  <c r="AQ430" i="1" s="1"/>
  <c r="AC430" i="1"/>
  <c r="AR430" i="1" s="1"/>
  <c r="Z431" i="1"/>
  <c r="AO431" i="1" s="1"/>
  <c r="AA431" i="1"/>
  <c r="AP431" i="1" s="1"/>
  <c r="AB431" i="1"/>
  <c r="AQ431" i="1" s="1"/>
  <c r="AC431" i="1"/>
  <c r="AR431" i="1" s="1"/>
  <c r="Z432" i="1"/>
  <c r="AO432" i="1" s="1"/>
  <c r="AA432" i="1"/>
  <c r="AP432" i="1" s="1"/>
  <c r="AB432" i="1"/>
  <c r="AQ432" i="1" s="1"/>
  <c r="AC432" i="1"/>
  <c r="AR432" i="1" s="1"/>
  <c r="Z433" i="1"/>
  <c r="AO433" i="1" s="1"/>
  <c r="AA433" i="1"/>
  <c r="AP433" i="1" s="1"/>
  <c r="AB433" i="1"/>
  <c r="AQ433" i="1" s="1"/>
  <c r="AC433" i="1"/>
  <c r="AR433" i="1" s="1"/>
  <c r="Z434" i="1"/>
  <c r="AA434" i="1"/>
  <c r="AB434" i="1"/>
  <c r="AC434" i="1"/>
  <c r="S3" i="1"/>
  <c r="AH3" i="1" s="1"/>
  <c r="T3" i="1"/>
  <c r="AI3" i="1" s="1"/>
  <c r="U3" i="1"/>
  <c r="AJ3" i="1" s="1"/>
  <c r="V3" i="1"/>
  <c r="AK3" i="1" s="1"/>
  <c r="W3" i="1"/>
  <c r="AL3" i="1" s="1"/>
  <c r="X3" i="1"/>
  <c r="AM3" i="1" s="1"/>
  <c r="Y3" i="1"/>
  <c r="AN3" i="1" s="1"/>
  <c r="S4" i="1"/>
  <c r="AH4" i="1" s="1"/>
  <c r="T4" i="1"/>
  <c r="AI4" i="1" s="1"/>
  <c r="U4" i="1"/>
  <c r="AJ4" i="1" s="1"/>
  <c r="V4" i="1"/>
  <c r="AK4" i="1" s="1"/>
  <c r="W4" i="1"/>
  <c r="AL4" i="1" s="1"/>
  <c r="X4" i="1"/>
  <c r="AM4" i="1" s="1"/>
  <c r="Y4" i="1"/>
  <c r="AN4" i="1" s="1"/>
  <c r="S5" i="1"/>
  <c r="AH5" i="1" s="1"/>
  <c r="T5" i="1"/>
  <c r="AI5" i="1" s="1"/>
  <c r="U5" i="1"/>
  <c r="AJ5" i="1" s="1"/>
  <c r="V5" i="1"/>
  <c r="AK5" i="1" s="1"/>
  <c r="W5" i="1"/>
  <c r="AL5" i="1" s="1"/>
  <c r="X5" i="1"/>
  <c r="AM5" i="1" s="1"/>
  <c r="Y5" i="1"/>
  <c r="AN5" i="1" s="1"/>
  <c r="S6" i="1"/>
  <c r="AH6" i="1" s="1"/>
  <c r="T6" i="1"/>
  <c r="AI6" i="1" s="1"/>
  <c r="U6" i="1"/>
  <c r="AJ6" i="1" s="1"/>
  <c r="V6" i="1"/>
  <c r="AK6" i="1" s="1"/>
  <c r="W6" i="1"/>
  <c r="AL6" i="1" s="1"/>
  <c r="X6" i="1"/>
  <c r="AM6" i="1" s="1"/>
  <c r="Y6" i="1"/>
  <c r="AN6" i="1" s="1"/>
  <c r="S7" i="1"/>
  <c r="AH7" i="1" s="1"/>
  <c r="T7" i="1"/>
  <c r="AI7" i="1" s="1"/>
  <c r="U7" i="1"/>
  <c r="AJ7" i="1" s="1"/>
  <c r="V7" i="1"/>
  <c r="AK7" i="1" s="1"/>
  <c r="W7" i="1"/>
  <c r="AL7" i="1" s="1"/>
  <c r="X7" i="1"/>
  <c r="AM7" i="1" s="1"/>
  <c r="Y7" i="1"/>
  <c r="AN7" i="1" s="1"/>
  <c r="S8" i="1"/>
  <c r="AH8" i="1" s="1"/>
  <c r="T8" i="1"/>
  <c r="AI8" i="1" s="1"/>
  <c r="U8" i="1"/>
  <c r="AJ8" i="1" s="1"/>
  <c r="V8" i="1"/>
  <c r="AK8" i="1" s="1"/>
  <c r="W8" i="1"/>
  <c r="AL8" i="1" s="1"/>
  <c r="X8" i="1"/>
  <c r="AM8" i="1" s="1"/>
  <c r="Y8" i="1"/>
  <c r="AN8" i="1" s="1"/>
  <c r="S9" i="1"/>
  <c r="AH9" i="1" s="1"/>
  <c r="T9" i="1"/>
  <c r="AI9" i="1" s="1"/>
  <c r="U9" i="1"/>
  <c r="AJ9" i="1" s="1"/>
  <c r="V9" i="1"/>
  <c r="AK9" i="1" s="1"/>
  <c r="W9" i="1"/>
  <c r="AL9" i="1" s="1"/>
  <c r="X9" i="1"/>
  <c r="AM9" i="1" s="1"/>
  <c r="Y9" i="1"/>
  <c r="AN9" i="1" s="1"/>
  <c r="S10" i="1"/>
  <c r="AH10" i="1" s="1"/>
  <c r="T10" i="1"/>
  <c r="AI10" i="1" s="1"/>
  <c r="U10" i="1"/>
  <c r="AJ10" i="1" s="1"/>
  <c r="V10" i="1"/>
  <c r="AK10" i="1" s="1"/>
  <c r="W10" i="1"/>
  <c r="AL10" i="1" s="1"/>
  <c r="X10" i="1"/>
  <c r="AM10" i="1" s="1"/>
  <c r="Y10" i="1"/>
  <c r="AN10" i="1" s="1"/>
  <c r="S11" i="1"/>
  <c r="AH11" i="1" s="1"/>
  <c r="T11" i="1"/>
  <c r="AI11" i="1" s="1"/>
  <c r="U11" i="1"/>
  <c r="AJ11" i="1" s="1"/>
  <c r="V11" i="1"/>
  <c r="AK11" i="1" s="1"/>
  <c r="W11" i="1"/>
  <c r="AL11" i="1" s="1"/>
  <c r="X11" i="1"/>
  <c r="AM11" i="1" s="1"/>
  <c r="Y11" i="1"/>
  <c r="AN11" i="1" s="1"/>
  <c r="S12" i="1"/>
  <c r="AH12" i="1" s="1"/>
  <c r="T12" i="1"/>
  <c r="AI12" i="1" s="1"/>
  <c r="U12" i="1"/>
  <c r="AJ12" i="1" s="1"/>
  <c r="V12" i="1"/>
  <c r="AK12" i="1" s="1"/>
  <c r="W12" i="1"/>
  <c r="AL12" i="1" s="1"/>
  <c r="X12" i="1"/>
  <c r="AM12" i="1" s="1"/>
  <c r="Y12" i="1"/>
  <c r="AN12" i="1" s="1"/>
  <c r="S13" i="1"/>
  <c r="AH13" i="1" s="1"/>
  <c r="T13" i="1"/>
  <c r="AI13" i="1" s="1"/>
  <c r="U13" i="1"/>
  <c r="AJ13" i="1" s="1"/>
  <c r="V13" i="1"/>
  <c r="AK13" i="1" s="1"/>
  <c r="W13" i="1"/>
  <c r="AL13" i="1" s="1"/>
  <c r="X13" i="1"/>
  <c r="AM13" i="1" s="1"/>
  <c r="Y13" i="1"/>
  <c r="AN13" i="1" s="1"/>
  <c r="S14" i="1"/>
  <c r="AH14" i="1" s="1"/>
  <c r="T14" i="1"/>
  <c r="AI14" i="1" s="1"/>
  <c r="U14" i="1"/>
  <c r="AJ14" i="1" s="1"/>
  <c r="V14" i="1"/>
  <c r="AK14" i="1" s="1"/>
  <c r="W14" i="1"/>
  <c r="AL14" i="1" s="1"/>
  <c r="X14" i="1"/>
  <c r="AM14" i="1" s="1"/>
  <c r="Y14" i="1"/>
  <c r="AN14" i="1" s="1"/>
  <c r="S15" i="1"/>
  <c r="AH15" i="1" s="1"/>
  <c r="T15" i="1"/>
  <c r="AI15" i="1" s="1"/>
  <c r="U15" i="1"/>
  <c r="AJ15" i="1" s="1"/>
  <c r="V15" i="1"/>
  <c r="AK15" i="1" s="1"/>
  <c r="W15" i="1"/>
  <c r="AL15" i="1" s="1"/>
  <c r="X15" i="1"/>
  <c r="AM15" i="1" s="1"/>
  <c r="Y15" i="1"/>
  <c r="AN15" i="1" s="1"/>
  <c r="S16" i="1"/>
  <c r="AH16" i="1" s="1"/>
  <c r="T16" i="1"/>
  <c r="AI16" i="1" s="1"/>
  <c r="U16" i="1"/>
  <c r="AJ16" i="1" s="1"/>
  <c r="V16" i="1"/>
  <c r="AK16" i="1" s="1"/>
  <c r="W16" i="1"/>
  <c r="AL16" i="1" s="1"/>
  <c r="X16" i="1"/>
  <c r="AM16" i="1" s="1"/>
  <c r="Y16" i="1"/>
  <c r="AN16" i="1" s="1"/>
  <c r="S17" i="1"/>
  <c r="AH17" i="1" s="1"/>
  <c r="T17" i="1"/>
  <c r="AI17" i="1" s="1"/>
  <c r="U17" i="1"/>
  <c r="AJ17" i="1" s="1"/>
  <c r="V17" i="1"/>
  <c r="AK17" i="1" s="1"/>
  <c r="W17" i="1"/>
  <c r="AL17" i="1" s="1"/>
  <c r="X17" i="1"/>
  <c r="AM17" i="1" s="1"/>
  <c r="Y17" i="1"/>
  <c r="AN17" i="1" s="1"/>
  <c r="S18" i="1"/>
  <c r="AH18" i="1" s="1"/>
  <c r="T18" i="1"/>
  <c r="AI18" i="1" s="1"/>
  <c r="U18" i="1"/>
  <c r="AJ18" i="1" s="1"/>
  <c r="V18" i="1"/>
  <c r="AK18" i="1" s="1"/>
  <c r="W18" i="1"/>
  <c r="AL18" i="1" s="1"/>
  <c r="X18" i="1"/>
  <c r="AM18" i="1" s="1"/>
  <c r="Y18" i="1"/>
  <c r="AN18" i="1" s="1"/>
  <c r="S19" i="1"/>
  <c r="AH19" i="1" s="1"/>
  <c r="T19" i="1"/>
  <c r="AI19" i="1" s="1"/>
  <c r="U19" i="1"/>
  <c r="AJ19" i="1" s="1"/>
  <c r="V19" i="1"/>
  <c r="AK19" i="1" s="1"/>
  <c r="W19" i="1"/>
  <c r="AL19" i="1" s="1"/>
  <c r="X19" i="1"/>
  <c r="AM19" i="1" s="1"/>
  <c r="Y19" i="1"/>
  <c r="AN19" i="1" s="1"/>
  <c r="S20" i="1"/>
  <c r="AH20" i="1" s="1"/>
  <c r="T20" i="1"/>
  <c r="AI20" i="1" s="1"/>
  <c r="U20" i="1"/>
  <c r="AJ20" i="1" s="1"/>
  <c r="V20" i="1"/>
  <c r="AK20" i="1" s="1"/>
  <c r="W20" i="1"/>
  <c r="AL20" i="1" s="1"/>
  <c r="X20" i="1"/>
  <c r="AM20" i="1" s="1"/>
  <c r="Y20" i="1"/>
  <c r="AN20" i="1" s="1"/>
  <c r="S21" i="1"/>
  <c r="AH21" i="1" s="1"/>
  <c r="T21" i="1"/>
  <c r="AI21" i="1" s="1"/>
  <c r="U21" i="1"/>
  <c r="AJ21" i="1" s="1"/>
  <c r="V21" i="1"/>
  <c r="AK21" i="1" s="1"/>
  <c r="W21" i="1"/>
  <c r="AL21" i="1" s="1"/>
  <c r="X21" i="1"/>
  <c r="AM21" i="1" s="1"/>
  <c r="Y21" i="1"/>
  <c r="AN21" i="1" s="1"/>
  <c r="S22" i="1"/>
  <c r="AH22" i="1" s="1"/>
  <c r="T22" i="1"/>
  <c r="AI22" i="1" s="1"/>
  <c r="U22" i="1"/>
  <c r="AJ22" i="1" s="1"/>
  <c r="V22" i="1"/>
  <c r="AK22" i="1" s="1"/>
  <c r="W22" i="1"/>
  <c r="AL22" i="1" s="1"/>
  <c r="X22" i="1"/>
  <c r="AM22" i="1" s="1"/>
  <c r="Y22" i="1"/>
  <c r="AN22" i="1" s="1"/>
  <c r="S23" i="1"/>
  <c r="AH23" i="1" s="1"/>
  <c r="T23" i="1"/>
  <c r="AI23" i="1" s="1"/>
  <c r="U23" i="1"/>
  <c r="AJ23" i="1" s="1"/>
  <c r="V23" i="1"/>
  <c r="AK23" i="1" s="1"/>
  <c r="W23" i="1"/>
  <c r="AL23" i="1" s="1"/>
  <c r="X23" i="1"/>
  <c r="AM23" i="1" s="1"/>
  <c r="Y23" i="1"/>
  <c r="AN23" i="1" s="1"/>
  <c r="S24" i="1"/>
  <c r="AH24" i="1" s="1"/>
  <c r="T24" i="1"/>
  <c r="AI24" i="1" s="1"/>
  <c r="U24" i="1"/>
  <c r="AJ24" i="1" s="1"/>
  <c r="V24" i="1"/>
  <c r="AK24" i="1" s="1"/>
  <c r="W24" i="1"/>
  <c r="AL24" i="1" s="1"/>
  <c r="X24" i="1"/>
  <c r="AM24" i="1" s="1"/>
  <c r="Y24" i="1"/>
  <c r="AN24" i="1" s="1"/>
  <c r="S25" i="1"/>
  <c r="AH25" i="1" s="1"/>
  <c r="T25" i="1"/>
  <c r="AI25" i="1" s="1"/>
  <c r="U25" i="1"/>
  <c r="AJ25" i="1" s="1"/>
  <c r="V25" i="1"/>
  <c r="AK25" i="1" s="1"/>
  <c r="W25" i="1"/>
  <c r="AL25" i="1" s="1"/>
  <c r="X25" i="1"/>
  <c r="AM25" i="1" s="1"/>
  <c r="Y25" i="1"/>
  <c r="AN25" i="1" s="1"/>
  <c r="S26" i="1"/>
  <c r="AH26" i="1" s="1"/>
  <c r="T26" i="1"/>
  <c r="AI26" i="1" s="1"/>
  <c r="U26" i="1"/>
  <c r="AJ26" i="1" s="1"/>
  <c r="V26" i="1"/>
  <c r="AK26" i="1" s="1"/>
  <c r="W26" i="1"/>
  <c r="AL26" i="1" s="1"/>
  <c r="X26" i="1"/>
  <c r="AM26" i="1" s="1"/>
  <c r="Y26" i="1"/>
  <c r="AN26" i="1" s="1"/>
  <c r="S27" i="1"/>
  <c r="AH27" i="1" s="1"/>
  <c r="T27" i="1"/>
  <c r="AI27" i="1" s="1"/>
  <c r="U27" i="1"/>
  <c r="AJ27" i="1" s="1"/>
  <c r="V27" i="1"/>
  <c r="AK27" i="1" s="1"/>
  <c r="W27" i="1"/>
  <c r="AL27" i="1" s="1"/>
  <c r="X27" i="1"/>
  <c r="AM27" i="1" s="1"/>
  <c r="Y27" i="1"/>
  <c r="AN27" i="1" s="1"/>
  <c r="S28" i="1"/>
  <c r="AH28" i="1" s="1"/>
  <c r="T28" i="1"/>
  <c r="AI28" i="1" s="1"/>
  <c r="U28" i="1"/>
  <c r="AJ28" i="1" s="1"/>
  <c r="V28" i="1"/>
  <c r="AK28" i="1" s="1"/>
  <c r="W28" i="1"/>
  <c r="AL28" i="1" s="1"/>
  <c r="X28" i="1"/>
  <c r="AM28" i="1" s="1"/>
  <c r="Y28" i="1"/>
  <c r="AN28" i="1" s="1"/>
  <c r="S29" i="1"/>
  <c r="AH29" i="1" s="1"/>
  <c r="T29" i="1"/>
  <c r="AI29" i="1" s="1"/>
  <c r="U29" i="1"/>
  <c r="AJ29" i="1" s="1"/>
  <c r="V29" i="1"/>
  <c r="AK29" i="1" s="1"/>
  <c r="W29" i="1"/>
  <c r="AL29" i="1" s="1"/>
  <c r="X29" i="1"/>
  <c r="AM29" i="1" s="1"/>
  <c r="Y29" i="1"/>
  <c r="AN29" i="1" s="1"/>
  <c r="S30" i="1"/>
  <c r="AH30" i="1" s="1"/>
  <c r="T30" i="1"/>
  <c r="AI30" i="1" s="1"/>
  <c r="U30" i="1"/>
  <c r="AJ30" i="1" s="1"/>
  <c r="V30" i="1"/>
  <c r="AK30" i="1" s="1"/>
  <c r="W30" i="1"/>
  <c r="AL30" i="1" s="1"/>
  <c r="X30" i="1"/>
  <c r="AM30" i="1" s="1"/>
  <c r="Y30" i="1"/>
  <c r="AN30" i="1" s="1"/>
  <c r="S31" i="1"/>
  <c r="AH31" i="1" s="1"/>
  <c r="T31" i="1"/>
  <c r="AI31" i="1" s="1"/>
  <c r="U31" i="1"/>
  <c r="AJ31" i="1" s="1"/>
  <c r="V31" i="1"/>
  <c r="AK31" i="1" s="1"/>
  <c r="W31" i="1"/>
  <c r="AL31" i="1" s="1"/>
  <c r="X31" i="1"/>
  <c r="AM31" i="1" s="1"/>
  <c r="Y31" i="1"/>
  <c r="AN31" i="1" s="1"/>
  <c r="S32" i="1"/>
  <c r="AH32" i="1" s="1"/>
  <c r="T32" i="1"/>
  <c r="AI32" i="1" s="1"/>
  <c r="U32" i="1"/>
  <c r="AJ32" i="1" s="1"/>
  <c r="V32" i="1"/>
  <c r="AK32" i="1" s="1"/>
  <c r="W32" i="1"/>
  <c r="AL32" i="1" s="1"/>
  <c r="X32" i="1"/>
  <c r="AM32" i="1" s="1"/>
  <c r="Y32" i="1"/>
  <c r="AN32" i="1" s="1"/>
  <c r="S33" i="1"/>
  <c r="AH33" i="1" s="1"/>
  <c r="T33" i="1"/>
  <c r="AI33" i="1" s="1"/>
  <c r="U33" i="1"/>
  <c r="AJ33" i="1" s="1"/>
  <c r="V33" i="1"/>
  <c r="AK33" i="1" s="1"/>
  <c r="W33" i="1"/>
  <c r="AL33" i="1" s="1"/>
  <c r="X33" i="1"/>
  <c r="AM33" i="1" s="1"/>
  <c r="Y33" i="1"/>
  <c r="AN33" i="1" s="1"/>
  <c r="S34" i="1"/>
  <c r="AH34" i="1" s="1"/>
  <c r="T34" i="1"/>
  <c r="AI34" i="1" s="1"/>
  <c r="U34" i="1"/>
  <c r="AJ34" i="1" s="1"/>
  <c r="V34" i="1"/>
  <c r="AK34" i="1" s="1"/>
  <c r="W34" i="1"/>
  <c r="AL34" i="1" s="1"/>
  <c r="X34" i="1"/>
  <c r="AM34" i="1" s="1"/>
  <c r="Y34" i="1"/>
  <c r="AN34" i="1" s="1"/>
  <c r="S35" i="1"/>
  <c r="AH35" i="1" s="1"/>
  <c r="T35" i="1"/>
  <c r="AI35" i="1" s="1"/>
  <c r="U35" i="1"/>
  <c r="AJ35" i="1" s="1"/>
  <c r="V35" i="1"/>
  <c r="AK35" i="1" s="1"/>
  <c r="W35" i="1"/>
  <c r="AL35" i="1" s="1"/>
  <c r="X35" i="1"/>
  <c r="AM35" i="1" s="1"/>
  <c r="Y35" i="1"/>
  <c r="AN35" i="1" s="1"/>
  <c r="S36" i="1"/>
  <c r="AH36" i="1" s="1"/>
  <c r="T36" i="1"/>
  <c r="AI36" i="1" s="1"/>
  <c r="U36" i="1"/>
  <c r="AJ36" i="1" s="1"/>
  <c r="V36" i="1"/>
  <c r="AK36" i="1" s="1"/>
  <c r="W36" i="1"/>
  <c r="AL36" i="1" s="1"/>
  <c r="X36" i="1"/>
  <c r="AM36" i="1" s="1"/>
  <c r="Y36" i="1"/>
  <c r="AN36" i="1" s="1"/>
  <c r="S37" i="1"/>
  <c r="AH37" i="1" s="1"/>
  <c r="T37" i="1"/>
  <c r="AI37" i="1" s="1"/>
  <c r="U37" i="1"/>
  <c r="AJ37" i="1" s="1"/>
  <c r="V37" i="1"/>
  <c r="AK37" i="1" s="1"/>
  <c r="W37" i="1"/>
  <c r="AL37" i="1" s="1"/>
  <c r="X37" i="1"/>
  <c r="AM37" i="1" s="1"/>
  <c r="Y37" i="1"/>
  <c r="AN37" i="1" s="1"/>
  <c r="S38" i="1"/>
  <c r="AH38" i="1" s="1"/>
  <c r="T38" i="1"/>
  <c r="AI38" i="1" s="1"/>
  <c r="U38" i="1"/>
  <c r="AJ38" i="1" s="1"/>
  <c r="V38" i="1"/>
  <c r="AK38" i="1" s="1"/>
  <c r="W38" i="1"/>
  <c r="AL38" i="1" s="1"/>
  <c r="X38" i="1"/>
  <c r="AM38" i="1" s="1"/>
  <c r="Y38" i="1"/>
  <c r="AN38" i="1" s="1"/>
  <c r="S39" i="1"/>
  <c r="AH39" i="1" s="1"/>
  <c r="T39" i="1"/>
  <c r="AI39" i="1" s="1"/>
  <c r="U39" i="1"/>
  <c r="AJ39" i="1" s="1"/>
  <c r="V39" i="1"/>
  <c r="AK39" i="1" s="1"/>
  <c r="W39" i="1"/>
  <c r="AL39" i="1" s="1"/>
  <c r="X39" i="1"/>
  <c r="AM39" i="1" s="1"/>
  <c r="Y39" i="1"/>
  <c r="AN39" i="1" s="1"/>
  <c r="S40" i="1"/>
  <c r="AH40" i="1" s="1"/>
  <c r="T40" i="1"/>
  <c r="AI40" i="1" s="1"/>
  <c r="U40" i="1"/>
  <c r="AJ40" i="1" s="1"/>
  <c r="V40" i="1"/>
  <c r="AK40" i="1" s="1"/>
  <c r="W40" i="1"/>
  <c r="AL40" i="1" s="1"/>
  <c r="X40" i="1"/>
  <c r="AM40" i="1" s="1"/>
  <c r="Y40" i="1"/>
  <c r="AN40" i="1" s="1"/>
  <c r="S41" i="1"/>
  <c r="AH41" i="1" s="1"/>
  <c r="T41" i="1"/>
  <c r="AI41" i="1" s="1"/>
  <c r="U41" i="1"/>
  <c r="AJ41" i="1" s="1"/>
  <c r="V41" i="1"/>
  <c r="AK41" i="1" s="1"/>
  <c r="W41" i="1"/>
  <c r="AL41" i="1" s="1"/>
  <c r="X41" i="1"/>
  <c r="AM41" i="1" s="1"/>
  <c r="Y41" i="1"/>
  <c r="AN41" i="1" s="1"/>
  <c r="S42" i="1"/>
  <c r="AH42" i="1" s="1"/>
  <c r="T42" i="1"/>
  <c r="AI42" i="1" s="1"/>
  <c r="U42" i="1"/>
  <c r="AJ42" i="1" s="1"/>
  <c r="V42" i="1"/>
  <c r="AK42" i="1" s="1"/>
  <c r="W42" i="1"/>
  <c r="AL42" i="1" s="1"/>
  <c r="X42" i="1"/>
  <c r="AM42" i="1" s="1"/>
  <c r="Y42" i="1"/>
  <c r="AN42" i="1" s="1"/>
  <c r="S43" i="1"/>
  <c r="AH43" i="1" s="1"/>
  <c r="T43" i="1"/>
  <c r="AI43" i="1" s="1"/>
  <c r="U43" i="1"/>
  <c r="AJ43" i="1" s="1"/>
  <c r="V43" i="1"/>
  <c r="AK43" i="1" s="1"/>
  <c r="W43" i="1"/>
  <c r="AL43" i="1" s="1"/>
  <c r="X43" i="1"/>
  <c r="AM43" i="1" s="1"/>
  <c r="Y43" i="1"/>
  <c r="AN43" i="1" s="1"/>
  <c r="S44" i="1"/>
  <c r="AH44" i="1" s="1"/>
  <c r="T44" i="1"/>
  <c r="AI44" i="1" s="1"/>
  <c r="U44" i="1"/>
  <c r="AJ44" i="1" s="1"/>
  <c r="V44" i="1"/>
  <c r="AK44" i="1" s="1"/>
  <c r="W44" i="1"/>
  <c r="AL44" i="1" s="1"/>
  <c r="X44" i="1"/>
  <c r="AM44" i="1" s="1"/>
  <c r="Y44" i="1"/>
  <c r="AN44" i="1" s="1"/>
  <c r="S45" i="1"/>
  <c r="AH45" i="1" s="1"/>
  <c r="T45" i="1"/>
  <c r="AI45" i="1" s="1"/>
  <c r="U45" i="1"/>
  <c r="AJ45" i="1" s="1"/>
  <c r="V45" i="1"/>
  <c r="AK45" i="1" s="1"/>
  <c r="W45" i="1"/>
  <c r="AL45" i="1" s="1"/>
  <c r="X45" i="1"/>
  <c r="AM45" i="1" s="1"/>
  <c r="Y45" i="1"/>
  <c r="AN45" i="1" s="1"/>
  <c r="S46" i="1"/>
  <c r="AH46" i="1" s="1"/>
  <c r="T46" i="1"/>
  <c r="AI46" i="1" s="1"/>
  <c r="U46" i="1"/>
  <c r="AJ46" i="1" s="1"/>
  <c r="V46" i="1"/>
  <c r="AK46" i="1" s="1"/>
  <c r="W46" i="1"/>
  <c r="AL46" i="1" s="1"/>
  <c r="X46" i="1"/>
  <c r="AM46" i="1" s="1"/>
  <c r="Y46" i="1"/>
  <c r="AN46" i="1" s="1"/>
  <c r="S47" i="1"/>
  <c r="AH47" i="1" s="1"/>
  <c r="T47" i="1"/>
  <c r="AI47" i="1" s="1"/>
  <c r="U47" i="1"/>
  <c r="AJ47" i="1" s="1"/>
  <c r="V47" i="1"/>
  <c r="AK47" i="1" s="1"/>
  <c r="W47" i="1"/>
  <c r="AL47" i="1" s="1"/>
  <c r="X47" i="1"/>
  <c r="AM47" i="1" s="1"/>
  <c r="Y47" i="1"/>
  <c r="AN47" i="1" s="1"/>
  <c r="S48" i="1"/>
  <c r="AH48" i="1" s="1"/>
  <c r="T48" i="1"/>
  <c r="AI48" i="1" s="1"/>
  <c r="U48" i="1"/>
  <c r="AJ48" i="1" s="1"/>
  <c r="V48" i="1"/>
  <c r="AK48" i="1" s="1"/>
  <c r="W48" i="1"/>
  <c r="AL48" i="1" s="1"/>
  <c r="X48" i="1"/>
  <c r="AM48" i="1" s="1"/>
  <c r="Y48" i="1"/>
  <c r="AN48" i="1" s="1"/>
  <c r="S49" i="1"/>
  <c r="AH49" i="1" s="1"/>
  <c r="T49" i="1"/>
  <c r="AI49" i="1" s="1"/>
  <c r="U49" i="1"/>
  <c r="AJ49" i="1" s="1"/>
  <c r="V49" i="1"/>
  <c r="AK49" i="1" s="1"/>
  <c r="W49" i="1"/>
  <c r="AL49" i="1" s="1"/>
  <c r="X49" i="1"/>
  <c r="AM49" i="1" s="1"/>
  <c r="Y49" i="1"/>
  <c r="AN49" i="1" s="1"/>
  <c r="S50" i="1"/>
  <c r="AH50" i="1" s="1"/>
  <c r="T50" i="1"/>
  <c r="AI50" i="1" s="1"/>
  <c r="U50" i="1"/>
  <c r="AJ50" i="1" s="1"/>
  <c r="V50" i="1"/>
  <c r="AK50" i="1" s="1"/>
  <c r="W50" i="1"/>
  <c r="AL50" i="1" s="1"/>
  <c r="X50" i="1"/>
  <c r="AM50" i="1" s="1"/>
  <c r="Y50" i="1"/>
  <c r="AN50" i="1" s="1"/>
  <c r="S51" i="1"/>
  <c r="AH51" i="1" s="1"/>
  <c r="T51" i="1"/>
  <c r="AI51" i="1" s="1"/>
  <c r="U51" i="1"/>
  <c r="AJ51" i="1" s="1"/>
  <c r="V51" i="1"/>
  <c r="AK51" i="1" s="1"/>
  <c r="W51" i="1"/>
  <c r="AL51" i="1" s="1"/>
  <c r="X51" i="1"/>
  <c r="AM51" i="1" s="1"/>
  <c r="Y51" i="1"/>
  <c r="AN51" i="1" s="1"/>
  <c r="S52" i="1"/>
  <c r="AH52" i="1" s="1"/>
  <c r="T52" i="1"/>
  <c r="AI52" i="1" s="1"/>
  <c r="U52" i="1"/>
  <c r="AJ52" i="1" s="1"/>
  <c r="V52" i="1"/>
  <c r="AK52" i="1" s="1"/>
  <c r="W52" i="1"/>
  <c r="AL52" i="1" s="1"/>
  <c r="X52" i="1"/>
  <c r="AM52" i="1" s="1"/>
  <c r="Y52" i="1"/>
  <c r="AN52" i="1" s="1"/>
  <c r="S53" i="1"/>
  <c r="AH53" i="1" s="1"/>
  <c r="T53" i="1"/>
  <c r="AI53" i="1" s="1"/>
  <c r="U53" i="1"/>
  <c r="AJ53" i="1" s="1"/>
  <c r="V53" i="1"/>
  <c r="AK53" i="1" s="1"/>
  <c r="W53" i="1"/>
  <c r="AL53" i="1" s="1"/>
  <c r="X53" i="1"/>
  <c r="AM53" i="1" s="1"/>
  <c r="Y53" i="1"/>
  <c r="AN53" i="1" s="1"/>
  <c r="S54" i="1"/>
  <c r="AH54" i="1" s="1"/>
  <c r="T54" i="1"/>
  <c r="AI54" i="1" s="1"/>
  <c r="U54" i="1"/>
  <c r="AJ54" i="1" s="1"/>
  <c r="V54" i="1"/>
  <c r="AK54" i="1" s="1"/>
  <c r="W54" i="1"/>
  <c r="AL54" i="1" s="1"/>
  <c r="X54" i="1"/>
  <c r="AM54" i="1" s="1"/>
  <c r="Y54" i="1"/>
  <c r="AN54" i="1" s="1"/>
  <c r="S55" i="1"/>
  <c r="AH55" i="1" s="1"/>
  <c r="T55" i="1"/>
  <c r="AI55" i="1" s="1"/>
  <c r="U55" i="1"/>
  <c r="AJ55" i="1" s="1"/>
  <c r="V55" i="1"/>
  <c r="AK55" i="1" s="1"/>
  <c r="W55" i="1"/>
  <c r="AL55" i="1" s="1"/>
  <c r="X55" i="1"/>
  <c r="AM55" i="1" s="1"/>
  <c r="Y55" i="1"/>
  <c r="AN55" i="1" s="1"/>
  <c r="S56" i="1"/>
  <c r="AH56" i="1" s="1"/>
  <c r="T56" i="1"/>
  <c r="AI56" i="1" s="1"/>
  <c r="U56" i="1"/>
  <c r="AJ56" i="1" s="1"/>
  <c r="V56" i="1"/>
  <c r="AK56" i="1" s="1"/>
  <c r="W56" i="1"/>
  <c r="AL56" i="1" s="1"/>
  <c r="X56" i="1"/>
  <c r="AM56" i="1" s="1"/>
  <c r="Y56" i="1"/>
  <c r="AN56" i="1" s="1"/>
  <c r="S57" i="1"/>
  <c r="AH57" i="1" s="1"/>
  <c r="T57" i="1"/>
  <c r="AI57" i="1" s="1"/>
  <c r="U57" i="1"/>
  <c r="AJ57" i="1" s="1"/>
  <c r="V57" i="1"/>
  <c r="AK57" i="1" s="1"/>
  <c r="W57" i="1"/>
  <c r="AL57" i="1" s="1"/>
  <c r="X57" i="1"/>
  <c r="AM57" i="1" s="1"/>
  <c r="Y57" i="1"/>
  <c r="AN57" i="1" s="1"/>
  <c r="S58" i="1"/>
  <c r="AH58" i="1" s="1"/>
  <c r="T58" i="1"/>
  <c r="AI58" i="1" s="1"/>
  <c r="U58" i="1"/>
  <c r="AJ58" i="1" s="1"/>
  <c r="V58" i="1"/>
  <c r="AK58" i="1" s="1"/>
  <c r="W58" i="1"/>
  <c r="AL58" i="1" s="1"/>
  <c r="X58" i="1"/>
  <c r="AM58" i="1" s="1"/>
  <c r="Y58" i="1"/>
  <c r="AN58" i="1" s="1"/>
  <c r="S59" i="1"/>
  <c r="AH59" i="1" s="1"/>
  <c r="T59" i="1"/>
  <c r="AI59" i="1" s="1"/>
  <c r="U59" i="1"/>
  <c r="AJ59" i="1" s="1"/>
  <c r="V59" i="1"/>
  <c r="AK59" i="1" s="1"/>
  <c r="W59" i="1"/>
  <c r="AL59" i="1" s="1"/>
  <c r="X59" i="1"/>
  <c r="AM59" i="1" s="1"/>
  <c r="X108" i="1"/>
  <c r="AM108" i="1" s="1"/>
  <c r="Y108" i="1"/>
  <c r="AN108" i="1" s="1"/>
  <c r="S109" i="1"/>
  <c r="AH109" i="1" s="1"/>
  <c r="T109" i="1"/>
  <c r="AI109" i="1" s="1"/>
  <c r="V109" i="1"/>
  <c r="AK109" i="1" s="1"/>
  <c r="X109" i="1"/>
  <c r="AM109" i="1" s="1"/>
  <c r="S110" i="1"/>
  <c r="AH110" i="1" s="1"/>
  <c r="U110" i="1"/>
  <c r="AJ110" i="1" s="1"/>
  <c r="Y110" i="1"/>
  <c r="AN110" i="1" s="1"/>
  <c r="T111" i="1"/>
  <c r="AI111" i="1" s="1"/>
  <c r="V111" i="1"/>
  <c r="AK111" i="1" s="1"/>
  <c r="Y111" i="1"/>
  <c r="AN111" i="1" s="1"/>
  <c r="U112" i="1"/>
  <c r="AJ112" i="1" s="1"/>
  <c r="X112" i="1"/>
  <c r="AM112" i="1" s="1"/>
  <c r="U113" i="1"/>
  <c r="AJ113" i="1" s="1"/>
  <c r="X113" i="1"/>
  <c r="AM113" i="1" s="1"/>
  <c r="U114" i="1"/>
  <c r="AJ114" i="1" s="1"/>
  <c r="S115" i="1"/>
  <c r="AH115" i="1" s="1"/>
  <c r="U115" i="1"/>
  <c r="AJ115" i="1" s="1"/>
  <c r="X115" i="1"/>
  <c r="AM115" i="1" s="1"/>
  <c r="U116" i="1"/>
  <c r="AJ116" i="1" s="1"/>
  <c r="W116" i="1"/>
  <c r="AL116" i="1" s="1"/>
  <c r="S117" i="1"/>
  <c r="AH117" i="1" s="1"/>
  <c r="V117" i="1"/>
  <c r="AK117" i="1" s="1"/>
  <c r="S118" i="1"/>
  <c r="AH118" i="1" s="1"/>
  <c r="T118" i="1"/>
  <c r="AI118" i="1" s="1"/>
  <c r="W118" i="1"/>
  <c r="AL118" i="1" s="1"/>
  <c r="T119" i="1"/>
  <c r="AI119" i="1" s="1"/>
  <c r="W119" i="1"/>
  <c r="AL119" i="1" s="1"/>
  <c r="Y119" i="1"/>
  <c r="AN119" i="1" s="1"/>
  <c r="V120" i="1"/>
  <c r="AK120" i="1" s="1"/>
  <c r="X120" i="1"/>
  <c r="AM120" i="1" s="1"/>
  <c r="T121" i="1"/>
  <c r="AI121" i="1" s="1"/>
  <c r="V121" i="1"/>
  <c r="AK121" i="1" s="1"/>
  <c r="Y121" i="1"/>
  <c r="AN121" i="1" s="1"/>
  <c r="U122" i="1"/>
  <c r="AJ122" i="1" s="1"/>
  <c r="X122" i="1"/>
  <c r="AM122" i="1" s="1"/>
  <c r="S123" i="1"/>
  <c r="AH123" i="1" s="1"/>
  <c r="V123" i="1"/>
  <c r="AK123" i="1" s="1"/>
  <c r="X123" i="1"/>
  <c r="AM123" i="1" s="1"/>
  <c r="V124" i="1"/>
  <c r="AK124" i="1" s="1"/>
  <c r="U125" i="1"/>
  <c r="AJ125" i="1" s="1"/>
  <c r="X125" i="1"/>
  <c r="AM125" i="1" s="1"/>
  <c r="T126" i="1"/>
  <c r="AI126" i="1" s="1"/>
  <c r="V126" i="1"/>
  <c r="AK126" i="1" s="1"/>
  <c r="S127" i="1"/>
  <c r="AH127" i="1" s="1"/>
  <c r="V127" i="1"/>
  <c r="AK127" i="1" s="1"/>
  <c r="T128" i="1"/>
  <c r="AI128" i="1" s="1"/>
  <c r="V128" i="1"/>
  <c r="AK128" i="1" s="1"/>
  <c r="Y128" i="1"/>
  <c r="AN128" i="1" s="1"/>
  <c r="U129" i="1"/>
  <c r="AJ129" i="1" s="1"/>
  <c r="X129" i="1"/>
  <c r="AM129" i="1" s="1"/>
  <c r="T130" i="1"/>
  <c r="AI130" i="1" s="1"/>
  <c r="V130" i="1"/>
  <c r="AK130" i="1" s="1"/>
  <c r="X130" i="1"/>
  <c r="AM130" i="1" s="1"/>
  <c r="T131" i="1"/>
  <c r="AI131" i="1" s="1"/>
  <c r="V131" i="1"/>
  <c r="AK131" i="1" s="1"/>
  <c r="X131" i="1"/>
  <c r="AM131" i="1" s="1"/>
  <c r="T132" i="1"/>
  <c r="AI132" i="1" s="1"/>
  <c r="W132" i="1"/>
  <c r="AL132" i="1" s="1"/>
  <c r="Y132" i="1"/>
  <c r="AN132" i="1" s="1"/>
  <c r="W133" i="1"/>
  <c r="AL133" i="1" s="1"/>
  <c r="U134" i="1"/>
  <c r="AJ134" i="1" s="1"/>
  <c r="Y134" i="1"/>
  <c r="AN134" i="1" s="1"/>
  <c r="T135" i="1"/>
  <c r="AI135" i="1" s="1"/>
  <c r="X135" i="1"/>
  <c r="AM135" i="1" s="1"/>
  <c r="T136" i="1"/>
  <c r="AI136" i="1" s="1"/>
  <c r="V136" i="1"/>
  <c r="AK136" i="1" s="1"/>
  <c r="S137" i="1"/>
  <c r="AH137" i="1" s="1"/>
  <c r="W137" i="1"/>
  <c r="AL137" i="1" s="1"/>
  <c r="S138" i="1"/>
  <c r="AH138" i="1" s="1"/>
  <c r="U138" i="1"/>
  <c r="AJ138" i="1" s="1"/>
  <c r="X138" i="1"/>
  <c r="AM138" i="1" s="1"/>
  <c r="V139" i="1"/>
  <c r="AK139" i="1" s="1"/>
  <c r="X139" i="1"/>
  <c r="AM139" i="1" s="1"/>
  <c r="T140" i="1"/>
  <c r="AI140" i="1" s="1"/>
  <c r="Y140" i="1"/>
  <c r="AN140" i="1" s="1"/>
  <c r="U141" i="1"/>
  <c r="AJ141" i="1" s="1"/>
  <c r="W141" i="1"/>
  <c r="AL141" i="1" s="1"/>
  <c r="Y141" i="1"/>
  <c r="AN141" i="1" s="1"/>
  <c r="U142" i="1"/>
  <c r="AJ142" i="1" s="1"/>
  <c r="W142" i="1"/>
  <c r="AL142" i="1" s="1"/>
  <c r="T143" i="1"/>
  <c r="AI143" i="1" s="1"/>
  <c r="X143" i="1"/>
  <c r="AM143" i="1" s="1"/>
  <c r="U144" i="1"/>
  <c r="AJ144" i="1" s="1"/>
  <c r="X144" i="1"/>
  <c r="AM144" i="1" s="1"/>
  <c r="T145" i="1"/>
  <c r="AI145" i="1" s="1"/>
  <c r="W145" i="1"/>
  <c r="AL145" i="1" s="1"/>
  <c r="U146" i="1"/>
  <c r="AJ146" i="1" s="1"/>
  <c r="Y146" i="1"/>
  <c r="AN146" i="1" s="1"/>
  <c r="V147" i="1"/>
  <c r="AK147" i="1" s="1"/>
  <c r="T148" i="1"/>
  <c r="AI148" i="1" s="1"/>
  <c r="W148" i="1"/>
  <c r="AL148" i="1" s="1"/>
  <c r="Y148" i="1"/>
  <c r="AN148" i="1" s="1"/>
  <c r="V149" i="1"/>
  <c r="AK149" i="1" s="1"/>
  <c r="S150" i="1"/>
  <c r="AH150" i="1" s="1"/>
  <c r="W150" i="1"/>
  <c r="AL150" i="1" s="1"/>
  <c r="Y150" i="1"/>
  <c r="AN150" i="1" s="1"/>
  <c r="T151" i="1"/>
  <c r="AI151" i="1" s="1"/>
  <c r="W151" i="1"/>
  <c r="AL151" i="1" s="1"/>
  <c r="S152" i="1"/>
  <c r="AH152" i="1" s="1"/>
  <c r="U152" i="1"/>
  <c r="AJ152" i="1" s="1"/>
  <c r="Y152" i="1"/>
  <c r="AN152" i="1" s="1"/>
  <c r="T153" i="1"/>
  <c r="AI153" i="1" s="1"/>
  <c r="W153" i="1"/>
  <c r="AL153" i="1" s="1"/>
  <c r="Y153" i="1"/>
  <c r="AN153" i="1" s="1"/>
  <c r="U154" i="1"/>
  <c r="AJ154" i="1" s="1"/>
  <c r="X154" i="1"/>
  <c r="AM154" i="1" s="1"/>
  <c r="U155" i="1"/>
  <c r="AJ155" i="1" s="1"/>
  <c r="S156" i="1"/>
  <c r="AH156" i="1" s="1"/>
  <c r="V156" i="1"/>
  <c r="AK156" i="1" s="1"/>
  <c r="X156" i="1"/>
  <c r="AM156" i="1" s="1"/>
  <c r="S157" i="1"/>
  <c r="AH157" i="1" s="1"/>
  <c r="V157" i="1"/>
  <c r="AK157" i="1" s="1"/>
  <c r="X157" i="1"/>
  <c r="AM157" i="1" s="1"/>
  <c r="T158" i="1"/>
  <c r="AI158" i="1" s="1"/>
  <c r="W158" i="1"/>
  <c r="AL158" i="1" s="1"/>
  <c r="Y158" i="1"/>
  <c r="AN158" i="1" s="1"/>
  <c r="T159" i="1"/>
  <c r="AI159" i="1" s="1"/>
  <c r="W159" i="1"/>
  <c r="AL159" i="1" s="1"/>
  <c r="U160" i="1"/>
  <c r="AJ160" i="1" s="1"/>
  <c r="W160" i="1"/>
  <c r="AL160" i="1" s="1"/>
  <c r="S161" i="1"/>
  <c r="AH161" i="1" s="1"/>
  <c r="V161" i="1"/>
  <c r="AK161" i="1" s="1"/>
  <c r="Y201" i="1"/>
  <c r="AN201" i="1" s="1"/>
  <c r="T202" i="1"/>
  <c r="AI202" i="1" s="1"/>
  <c r="V202" i="1"/>
  <c r="AK202" i="1" s="1"/>
  <c r="Y202" i="1"/>
  <c r="AN202" i="1" s="1"/>
  <c r="T203" i="1"/>
  <c r="AI203" i="1" s="1"/>
  <c r="W203" i="1"/>
  <c r="AL203" i="1" s="1"/>
  <c r="Y203" i="1"/>
  <c r="AN203" i="1" s="1"/>
  <c r="U204" i="1"/>
  <c r="AJ204" i="1" s="1"/>
  <c r="T205" i="1"/>
  <c r="AI205" i="1" s="1"/>
  <c r="W205" i="1"/>
  <c r="AL205" i="1" s="1"/>
  <c r="T206" i="1"/>
  <c r="AI206" i="1" s="1"/>
  <c r="W206" i="1"/>
  <c r="AL206" i="1" s="1"/>
  <c r="S207" i="1"/>
  <c r="AH207" i="1" s="1"/>
  <c r="W207" i="1"/>
  <c r="AL207" i="1" s="1"/>
  <c r="S208" i="1"/>
  <c r="AH208" i="1" s="1"/>
  <c r="X208" i="1"/>
  <c r="AM208" i="1" s="1"/>
  <c r="S209" i="1"/>
  <c r="AH209" i="1" s="1"/>
  <c r="X209" i="1"/>
  <c r="AM209" i="1" s="1"/>
  <c r="X211" i="1"/>
  <c r="AM211" i="1" s="1"/>
  <c r="S212" i="1"/>
  <c r="AH212" i="1" s="1"/>
  <c r="T213" i="1"/>
  <c r="AI213" i="1" s="1"/>
  <c r="T215" i="1"/>
  <c r="AI215" i="1" s="1"/>
  <c r="T216" i="1"/>
  <c r="AI216" i="1" s="1"/>
  <c r="Y216" i="1"/>
  <c r="AN216" i="1" s="1"/>
  <c r="T219" i="1"/>
  <c r="AI219" i="1" s="1"/>
  <c r="T222" i="1"/>
  <c r="AI222" i="1" s="1"/>
  <c r="T227" i="1"/>
  <c r="AI227" i="1" s="1"/>
  <c r="S231" i="1"/>
  <c r="AH231" i="1" s="1"/>
  <c r="T232" i="1"/>
  <c r="AI232" i="1" s="1"/>
  <c r="S233" i="1"/>
  <c r="AH233" i="1" s="1"/>
  <c r="Y59" i="1"/>
  <c r="AN59" i="1" s="1"/>
  <c r="S60" i="1"/>
  <c r="AH60" i="1" s="1"/>
  <c r="T60" i="1"/>
  <c r="AI60" i="1" s="1"/>
  <c r="U60" i="1"/>
  <c r="AJ60" i="1" s="1"/>
  <c r="V60" i="1"/>
  <c r="AK60" i="1" s="1"/>
  <c r="W60" i="1"/>
  <c r="AL60" i="1" s="1"/>
  <c r="X60" i="1"/>
  <c r="AM60" i="1" s="1"/>
  <c r="Y60" i="1"/>
  <c r="AN60" i="1" s="1"/>
  <c r="S61" i="1"/>
  <c r="AH61" i="1" s="1"/>
  <c r="T61" i="1"/>
  <c r="AI61" i="1" s="1"/>
  <c r="U61" i="1"/>
  <c r="AJ61" i="1" s="1"/>
  <c r="V61" i="1"/>
  <c r="AK61" i="1" s="1"/>
  <c r="W61" i="1"/>
  <c r="AL61" i="1" s="1"/>
  <c r="X61" i="1"/>
  <c r="AM61" i="1" s="1"/>
  <c r="Y61" i="1"/>
  <c r="AN61" i="1" s="1"/>
  <c r="S62" i="1"/>
  <c r="AH62" i="1" s="1"/>
  <c r="T62" i="1"/>
  <c r="AI62" i="1" s="1"/>
  <c r="U62" i="1"/>
  <c r="AJ62" i="1" s="1"/>
  <c r="V62" i="1"/>
  <c r="AK62" i="1" s="1"/>
  <c r="W62" i="1"/>
  <c r="AL62" i="1" s="1"/>
  <c r="X62" i="1"/>
  <c r="AM62" i="1" s="1"/>
  <c r="Y62" i="1"/>
  <c r="AN62" i="1" s="1"/>
  <c r="S63" i="1"/>
  <c r="AH63" i="1" s="1"/>
  <c r="T63" i="1"/>
  <c r="AI63" i="1" s="1"/>
  <c r="U63" i="1"/>
  <c r="AJ63" i="1" s="1"/>
  <c r="V63" i="1"/>
  <c r="AK63" i="1" s="1"/>
  <c r="W63" i="1"/>
  <c r="AL63" i="1" s="1"/>
  <c r="X63" i="1"/>
  <c r="AM63" i="1" s="1"/>
  <c r="Y63" i="1"/>
  <c r="AN63" i="1" s="1"/>
  <c r="S64" i="1"/>
  <c r="AH64" i="1" s="1"/>
  <c r="T64" i="1"/>
  <c r="AI64" i="1" s="1"/>
  <c r="U64" i="1"/>
  <c r="AJ64" i="1" s="1"/>
  <c r="V64" i="1"/>
  <c r="AK64" i="1" s="1"/>
  <c r="W64" i="1"/>
  <c r="AL64" i="1" s="1"/>
  <c r="X64" i="1"/>
  <c r="AM64" i="1" s="1"/>
  <c r="Y64" i="1"/>
  <c r="AN64" i="1" s="1"/>
  <c r="S65" i="1"/>
  <c r="AH65" i="1" s="1"/>
  <c r="T65" i="1"/>
  <c r="AI65" i="1" s="1"/>
  <c r="U65" i="1"/>
  <c r="AJ65" i="1" s="1"/>
  <c r="V65" i="1"/>
  <c r="AK65" i="1" s="1"/>
  <c r="W65" i="1"/>
  <c r="AL65" i="1" s="1"/>
  <c r="X65" i="1"/>
  <c r="AM65" i="1" s="1"/>
  <c r="Y65" i="1"/>
  <c r="AN65" i="1" s="1"/>
  <c r="S66" i="1"/>
  <c r="AH66" i="1" s="1"/>
  <c r="T66" i="1"/>
  <c r="AI66" i="1" s="1"/>
  <c r="U66" i="1"/>
  <c r="AJ66" i="1" s="1"/>
  <c r="V66" i="1"/>
  <c r="AK66" i="1" s="1"/>
  <c r="W66" i="1"/>
  <c r="AL66" i="1" s="1"/>
  <c r="X66" i="1"/>
  <c r="AM66" i="1" s="1"/>
  <c r="Y66" i="1"/>
  <c r="AN66" i="1" s="1"/>
  <c r="S67" i="1"/>
  <c r="AH67" i="1" s="1"/>
  <c r="T67" i="1"/>
  <c r="AI67" i="1" s="1"/>
  <c r="U67" i="1"/>
  <c r="AJ67" i="1" s="1"/>
  <c r="V67" i="1"/>
  <c r="AK67" i="1" s="1"/>
  <c r="W67" i="1"/>
  <c r="AL67" i="1" s="1"/>
  <c r="X67" i="1"/>
  <c r="AM67" i="1" s="1"/>
  <c r="Y67" i="1"/>
  <c r="AN67" i="1" s="1"/>
  <c r="S68" i="1"/>
  <c r="AH68" i="1" s="1"/>
  <c r="T68" i="1"/>
  <c r="AI68" i="1" s="1"/>
  <c r="U68" i="1"/>
  <c r="AJ68" i="1" s="1"/>
  <c r="V68" i="1"/>
  <c r="AK68" i="1" s="1"/>
  <c r="W68" i="1"/>
  <c r="AL68" i="1" s="1"/>
  <c r="X68" i="1"/>
  <c r="AM68" i="1" s="1"/>
  <c r="Y68" i="1"/>
  <c r="AN68" i="1" s="1"/>
  <c r="S69" i="1"/>
  <c r="AH69" i="1" s="1"/>
  <c r="T69" i="1"/>
  <c r="AI69" i="1" s="1"/>
  <c r="U69" i="1"/>
  <c r="AJ69" i="1" s="1"/>
  <c r="V69" i="1"/>
  <c r="AK69" i="1" s="1"/>
  <c r="W69" i="1"/>
  <c r="AL69" i="1" s="1"/>
  <c r="X69" i="1"/>
  <c r="AM69" i="1" s="1"/>
  <c r="Y69" i="1"/>
  <c r="AN69" i="1" s="1"/>
  <c r="S70" i="1"/>
  <c r="AH70" i="1" s="1"/>
  <c r="T70" i="1"/>
  <c r="AI70" i="1" s="1"/>
  <c r="U70" i="1"/>
  <c r="AJ70" i="1" s="1"/>
  <c r="V70" i="1"/>
  <c r="AK70" i="1" s="1"/>
  <c r="W70" i="1"/>
  <c r="AL70" i="1" s="1"/>
  <c r="X70" i="1"/>
  <c r="AM70" i="1" s="1"/>
  <c r="Y70" i="1"/>
  <c r="AN70" i="1" s="1"/>
  <c r="S71" i="1"/>
  <c r="AH71" i="1" s="1"/>
  <c r="T71" i="1"/>
  <c r="AI71" i="1" s="1"/>
  <c r="U71" i="1"/>
  <c r="AJ71" i="1" s="1"/>
  <c r="V71" i="1"/>
  <c r="AK71" i="1" s="1"/>
  <c r="W71" i="1"/>
  <c r="AL71" i="1" s="1"/>
  <c r="X71" i="1"/>
  <c r="AM71" i="1" s="1"/>
  <c r="Y71" i="1"/>
  <c r="AN71" i="1" s="1"/>
  <c r="S72" i="1"/>
  <c r="AH72" i="1" s="1"/>
  <c r="T72" i="1"/>
  <c r="AI72" i="1" s="1"/>
  <c r="U72" i="1"/>
  <c r="AJ72" i="1" s="1"/>
  <c r="V72" i="1"/>
  <c r="AK72" i="1" s="1"/>
  <c r="W72" i="1"/>
  <c r="AL72" i="1" s="1"/>
  <c r="X72" i="1"/>
  <c r="AM72" i="1" s="1"/>
  <c r="Y72" i="1"/>
  <c r="AN72" i="1" s="1"/>
  <c r="S73" i="1"/>
  <c r="AH73" i="1" s="1"/>
  <c r="T73" i="1"/>
  <c r="AI73" i="1" s="1"/>
  <c r="U73" i="1"/>
  <c r="AJ73" i="1" s="1"/>
  <c r="V73" i="1"/>
  <c r="AK73" i="1" s="1"/>
  <c r="W73" i="1"/>
  <c r="AL73" i="1" s="1"/>
  <c r="X73" i="1"/>
  <c r="AM73" i="1" s="1"/>
  <c r="Y73" i="1"/>
  <c r="AN73" i="1" s="1"/>
  <c r="S74" i="1"/>
  <c r="AH74" i="1" s="1"/>
  <c r="T74" i="1"/>
  <c r="AI74" i="1" s="1"/>
  <c r="U74" i="1"/>
  <c r="AJ74" i="1" s="1"/>
  <c r="V74" i="1"/>
  <c r="AK74" i="1" s="1"/>
  <c r="W74" i="1"/>
  <c r="AL74" i="1" s="1"/>
  <c r="X74" i="1"/>
  <c r="AM74" i="1" s="1"/>
  <c r="Y74" i="1"/>
  <c r="AN74" i="1" s="1"/>
  <c r="S75" i="1"/>
  <c r="AH75" i="1" s="1"/>
  <c r="T75" i="1"/>
  <c r="AI75" i="1" s="1"/>
  <c r="U75" i="1"/>
  <c r="AJ75" i="1" s="1"/>
  <c r="V75" i="1"/>
  <c r="AK75" i="1" s="1"/>
  <c r="W75" i="1"/>
  <c r="AL75" i="1" s="1"/>
  <c r="X75" i="1"/>
  <c r="AM75" i="1" s="1"/>
  <c r="Y75" i="1"/>
  <c r="AN75" i="1" s="1"/>
  <c r="S76" i="1"/>
  <c r="AH76" i="1" s="1"/>
  <c r="T76" i="1"/>
  <c r="AI76" i="1" s="1"/>
  <c r="U76" i="1"/>
  <c r="AJ76" i="1" s="1"/>
  <c r="V76" i="1"/>
  <c r="AK76" i="1" s="1"/>
  <c r="W76" i="1"/>
  <c r="AL76" i="1" s="1"/>
  <c r="X76" i="1"/>
  <c r="AM76" i="1" s="1"/>
  <c r="Y76" i="1"/>
  <c r="AN76" i="1" s="1"/>
  <c r="S77" i="1"/>
  <c r="AH77" i="1" s="1"/>
  <c r="T77" i="1"/>
  <c r="AI77" i="1" s="1"/>
  <c r="U77" i="1"/>
  <c r="AJ77" i="1" s="1"/>
  <c r="V77" i="1"/>
  <c r="AK77" i="1" s="1"/>
  <c r="W77" i="1"/>
  <c r="AL77" i="1" s="1"/>
  <c r="X77" i="1"/>
  <c r="AM77" i="1" s="1"/>
  <c r="Y77" i="1"/>
  <c r="AN77" i="1" s="1"/>
  <c r="S78" i="1"/>
  <c r="AH78" i="1" s="1"/>
  <c r="T78" i="1"/>
  <c r="AI78" i="1" s="1"/>
  <c r="U78" i="1"/>
  <c r="AJ78" i="1" s="1"/>
  <c r="V78" i="1"/>
  <c r="AK78" i="1" s="1"/>
  <c r="W78" i="1"/>
  <c r="AL78" i="1" s="1"/>
  <c r="X78" i="1"/>
  <c r="AM78" i="1" s="1"/>
  <c r="Y78" i="1"/>
  <c r="AN78" i="1" s="1"/>
  <c r="S79" i="1"/>
  <c r="AH79" i="1" s="1"/>
  <c r="T79" i="1"/>
  <c r="AI79" i="1" s="1"/>
  <c r="U79" i="1"/>
  <c r="AJ79" i="1" s="1"/>
  <c r="V79" i="1"/>
  <c r="AK79" i="1" s="1"/>
  <c r="W79" i="1"/>
  <c r="AL79" i="1" s="1"/>
  <c r="X79" i="1"/>
  <c r="AM79" i="1" s="1"/>
  <c r="Y79" i="1"/>
  <c r="AN79" i="1" s="1"/>
  <c r="S80" i="1"/>
  <c r="AH80" i="1" s="1"/>
  <c r="T80" i="1"/>
  <c r="AI80" i="1" s="1"/>
  <c r="U80" i="1"/>
  <c r="AJ80" i="1" s="1"/>
  <c r="V80" i="1"/>
  <c r="AK80" i="1" s="1"/>
  <c r="W80" i="1"/>
  <c r="AL80" i="1" s="1"/>
  <c r="X80" i="1"/>
  <c r="AM80" i="1" s="1"/>
  <c r="Y80" i="1"/>
  <c r="AN80" i="1" s="1"/>
  <c r="S81" i="1"/>
  <c r="AH81" i="1" s="1"/>
  <c r="T81" i="1"/>
  <c r="AI81" i="1" s="1"/>
  <c r="U81" i="1"/>
  <c r="AJ81" i="1" s="1"/>
  <c r="V81" i="1"/>
  <c r="AK81" i="1" s="1"/>
  <c r="W81" i="1"/>
  <c r="AL81" i="1" s="1"/>
  <c r="X81" i="1"/>
  <c r="AM81" i="1" s="1"/>
  <c r="Y81" i="1"/>
  <c r="AN81" i="1" s="1"/>
  <c r="S82" i="1"/>
  <c r="AH82" i="1" s="1"/>
  <c r="T82" i="1"/>
  <c r="AI82" i="1" s="1"/>
  <c r="U82" i="1"/>
  <c r="AJ82" i="1" s="1"/>
  <c r="V82" i="1"/>
  <c r="AK82" i="1" s="1"/>
  <c r="W82" i="1"/>
  <c r="AL82" i="1" s="1"/>
  <c r="X82" i="1"/>
  <c r="AM82" i="1" s="1"/>
  <c r="Y82" i="1"/>
  <c r="AN82" i="1" s="1"/>
  <c r="S83" i="1"/>
  <c r="AH83" i="1" s="1"/>
  <c r="T83" i="1"/>
  <c r="AI83" i="1" s="1"/>
  <c r="U83" i="1"/>
  <c r="AJ83" i="1" s="1"/>
  <c r="V83" i="1"/>
  <c r="AK83" i="1" s="1"/>
  <c r="W83" i="1"/>
  <c r="AL83" i="1" s="1"/>
  <c r="X83" i="1"/>
  <c r="AM83" i="1" s="1"/>
  <c r="Y83" i="1"/>
  <c r="AN83" i="1" s="1"/>
  <c r="S84" i="1"/>
  <c r="AH84" i="1" s="1"/>
  <c r="T84" i="1"/>
  <c r="AI84" i="1" s="1"/>
  <c r="U84" i="1"/>
  <c r="AJ84" i="1" s="1"/>
  <c r="V84" i="1"/>
  <c r="AK84" i="1" s="1"/>
  <c r="W84" i="1"/>
  <c r="AL84" i="1" s="1"/>
  <c r="X84" i="1"/>
  <c r="AM84" i="1" s="1"/>
  <c r="Y84" i="1"/>
  <c r="AN84" i="1" s="1"/>
  <c r="S85" i="1"/>
  <c r="AH85" i="1" s="1"/>
  <c r="T85" i="1"/>
  <c r="AI85" i="1" s="1"/>
  <c r="U85" i="1"/>
  <c r="AJ85" i="1" s="1"/>
  <c r="V85" i="1"/>
  <c r="AK85" i="1" s="1"/>
  <c r="W85" i="1"/>
  <c r="AL85" i="1" s="1"/>
  <c r="X85" i="1"/>
  <c r="AM85" i="1" s="1"/>
  <c r="Y85" i="1"/>
  <c r="AN85" i="1" s="1"/>
  <c r="S86" i="1"/>
  <c r="AH86" i="1" s="1"/>
  <c r="T86" i="1"/>
  <c r="AI86" i="1" s="1"/>
  <c r="U86" i="1"/>
  <c r="AJ86" i="1" s="1"/>
  <c r="V86" i="1"/>
  <c r="AK86" i="1" s="1"/>
  <c r="W86" i="1"/>
  <c r="AL86" i="1" s="1"/>
  <c r="X86" i="1"/>
  <c r="AM86" i="1" s="1"/>
  <c r="Y86" i="1"/>
  <c r="AN86" i="1" s="1"/>
  <c r="S87" i="1"/>
  <c r="AH87" i="1" s="1"/>
  <c r="T87" i="1"/>
  <c r="AI87" i="1" s="1"/>
  <c r="U87" i="1"/>
  <c r="AJ87" i="1" s="1"/>
  <c r="V87" i="1"/>
  <c r="AK87" i="1" s="1"/>
  <c r="W87" i="1"/>
  <c r="AL87" i="1" s="1"/>
  <c r="X87" i="1"/>
  <c r="AM87" i="1" s="1"/>
  <c r="Y87" i="1"/>
  <c r="AN87" i="1" s="1"/>
  <c r="S88" i="1"/>
  <c r="AH88" i="1" s="1"/>
  <c r="T88" i="1"/>
  <c r="AI88" i="1" s="1"/>
  <c r="U88" i="1"/>
  <c r="AJ88" i="1" s="1"/>
  <c r="V88" i="1"/>
  <c r="AK88" i="1" s="1"/>
  <c r="W88" i="1"/>
  <c r="AL88" i="1" s="1"/>
  <c r="X88" i="1"/>
  <c r="AM88" i="1" s="1"/>
  <c r="Y88" i="1"/>
  <c r="AN88" i="1" s="1"/>
  <c r="S89" i="1"/>
  <c r="AH89" i="1" s="1"/>
  <c r="T89" i="1"/>
  <c r="AI89" i="1" s="1"/>
  <c r="U89" i="1"/>
  <c r="AJ89" i="1" s="1"/>
  <c r="V89" i="1"/>
  <c r="AK89" i="1" s="1"/>
  <c r="W89" i="1"/>
  <c r="AL89" i="1" s="1"/>
  <c r="X89" i="1"/>
  <c r="AM89" i="1" s="1"/>
  <c r="Y89" i="1"/>
  <c r="AN89" i="1" s="1"/>
  <c r="S90" i="1"/>
  <c r="AH90" i="1" s="1"/>
  <c r="T90" i="1"/>
  <c r="AI90" i="1" s="1"/>
  <c r="U90" i="1"/>
  <c r="AJ90" i="1" s="1"/>
  <c r="V90" i="1"/>
  <c r="AK90" i="1" s="1"/>
  <c r="W90" i="1"/>
  <c r="AL90" i="1" s="1"/>
  <c r="X90" i="1"/>
  <c r="AM90" i="1" s="1"/>
  <c r="Y90" i="1"/>
  <c r="AN90" i="1" s="1"/>
  <c r="S91" i="1"/>
  <c r="AH91" i="1" s="1"/>
  <c r="T91" i="1"/>
  <c r="AI91" i="1" s="1"/>
  <c r="U91" i="1"/>
  <c r="AJ91" i="1" s="1"/>
  <c r="V91" i="1"/>
  <c r="AK91" i="1" s="1"/>
  <c r="W91" i="1"/>
  <c r="AL91" i="1" s="1"/>
  <c r="X91" i="1"/>
  <c r="AM91" i="1" s="1"/>
  <c r="Y91" i="1"/>
  <c r="AN91" i="1" s="1"/>
  <c r="S92" i="1"/>
  <c r="AH92" i="1" s="1"/>
  <c r="T92" i="1"/>
  <c r="AI92" i="1" s="1"/>
  <c r="U92" i="1"/>
  <c r="AJ92" i="1" s="1"/>
  <c r="V92" i="1"/>
  <c r="AK92" i="1" s="1"/>
  <c r="W92" i="1"/>
  <c r="AL92" i="1" s="1"/>
  <c r="X92" i="1"/>
  <c r="AM92" i="1" s="1"/>
  <c r="Y92" i="1"/>
  <c r="AN92" i="1" s="1"/>
  <c r="S93" i="1"/>
  <c r="AH93" i="1" s="1"/>
  <c r="T93" i="1"/>
  <c r="AI93" i="1" s="1"/>
  <c r="U93" i="1"/>
  <c r="AJ93" i="1" s="1"/>
  <c r="V93" i="1"/>
  <c r="AK93" i="1" s="1"/>
  <c r="W93" i="1"/>
  <c r="AL93" i="1" s="1"/>
  <c r="X93" i="1"/>
  <c r="AM93" i="1" s="1"/>
  <c r="Y93" i="1"/>
  <c r="AN93" i="1" s="1"/>
  <c r="S94" i="1"/>
  <c r="AH94" i="1" s="1"/>
  <c r="T94" i="1"/>
  <c r="AI94" i="1" s="1"/>
  <c r="U94" i="1"/>
  <c r="AJ94" i="1" s="1"/>
  <c r="V94" i="1"/>
  <c r="AK94" i="1" s="1"/>
  <c r="W94" i="1"/>
  <c r="AL94" i="1" s="1"/>
  <c r="X94" i="1"/>
  <c r="AM94" i="1" s="1"/>
  <c r="Y94" i="1"/>
  <c r="AN94" i="1" s="1"/>
  <c r="S95" i="1"/>
  <c r="AH95" i="1" s="1"/>
  <c r="T95" i="1"/>
  <c r="AI95" i="1" s="1"/>
  <c r="U95" i="1"/>
  <c r="AJ95" i="1" s="1"/>
  <c r="V95" i="1"/>
  <c r="AK95" i="1" s="1"/>
  <c r="W95" i="1"/>
  <c r="AL95" i="1" s="1"/>
  <c r="X95" i="1"/>
  <c r="AM95" i="1" s="1"/>
  <c r="Y95" i="1"/>
  <c r="AN95" i="1" s="1"/>
  <c r="S96" i="1"/>
  <c r="AH96" i="1" s="1"/>
  <c r="T96" i="1"/>
  <c r="AI96" i="1" s="1"/>
  <c r="U96" i="1"/>
  <c r="AJ96" i="1" s="1"/>
  <c r="V96" i="1"/>
  <c r="AK96" i="1" s="1"/>
  <c r="W96" i="1"/>
  <c r="AL96" i="1" s="1"/>
  <c r="X96" i="1"/>
  <c r="AM96" i="1" s="1"/>
  <c r="Y96" i="1"/>
  <c r="AN96" i="1" s="1"/>
  <c r="S97" i="1"/>
  <c r="AH97" i="1" s="1"/>
  <c r="T97" i="1"/>
  <c r="AI97" i="1" s="1"/>
  <c r="U97" i="1"/>
  <c r="AJ97" i="1" s="1"/>
  <c r="V97" i="1"/>
  <c r="AK97" i="1" s="1"/>
  <c r="W97" i="1"/>
  <c r="AL97" i="1" s="1"/>
  <c r="X97" i="1"/>
  <c r="AM97" i="1" s="1"/>
  <c r="Y97" i="1"/>
  <c r="AN97" i="1" s="1"/>
  <c r="S98" i="1"/>
  <c r="AH98" i="1" s="1"/>
  <c r="T98" i="1"/>
  <c r="AI98" i="1" s="1"/>
  <c r="U98" i="1"/>
  <c r="AJ98" i="1" s="1"/>
  <c r="V98" i="1"/>
  <c r="AK98" i="1" s="1"/>
  <c r="W98" i="1"/>
  <c r="AL98" i="1" s="1"/>
  <c r="X98" i="1"/>
  <c r="AM98" i="1" s="1"/>
  <c r="Y98" i="1"/>
  <c r="AN98" i="1" s="1"/>
  <c r="S99" i="1"/>
  <c r="AH99" i="1" s="1"/>
  <c r="T99" i="1"/>
  <c r="AI99" i="1" s="1"/>
  <c r="U99" i="1"/>
  <c r="AJ99" i="1" s="1"/>
  <c r="V99" i="1"/>
  <c r="AK99" i="1" s="1"/>
  <c r="W99" i="1"/>
  <c r="AL99" i="1" s="1"/>
  <c r="X99" i="1"/>
  <c r="AM99" i="1" s="1"/>
  <c r="Y99" i="1"/>
  <c r="AN99" i="1" s="1"/>
  <c r="S100" i="1"/>
  <c r="AH100" i="1" s="1"/>
  <c r="T100" i="1"/>
  <c r="AI100" i="1" s="1"/>
  <c r="U100" i="1"/>
  <c r="AJ100" i="1" s="1"/>
  <c r="V100" i="1"/>
  <c r="AK100" i="1" s="1"/>
  <c r="W100" i="1"/>
  <c r="AL100" i="1" s="1"/>
  <c r="X100" i="1"/>
  <c r="AM100" i="1" s="1"/>
  <c r="Y100" i="1"/>
  <c r="AN100" i="1" s="1"/>
  <c r="S101" i="1"/>
  <c r="AH101" i="1" s="1"/>
  <c r="T101" i="1"/>
  <c r="AI101" i="1" s="1"/>
  <c r="U101" i="1"/>
  <c r="AJ101" i="1" s="1"/>
  <c r="V101" i="1"/>
  <c r="AK101" i="1" s="1"/>
  <c r="W101" i="1"/>
  <c r="AL101" i="1" s="1"/>
  <c r="X101" i="1"/>
  <c r="AM101" i="1" s="1"/>
  <c r="Y101" i="1"/>
  <c r="AN101" i="1" s="1"/>
  <c r="S102" i="1"/>
  <c r="AH102" i="1" s="1"/>
  <c r="T102" i="1"/>
  <c r="AI102" i="1" s="1"/>
  <c r="U102" i="1"/>
  <c r="AJ102" i="1" s="1"/>
  <c r="V102" i="1"/>
  <c r="AK102" i="1" s="1"/>
  <c r="W102" i="1"/>
  <c r="AL102" i="1" s="1"/>
  <c r="X102" i="1"/>
  <c r="AM102" i="1" s="1"/>
  <c r="Y102" i="1"/>
  <c r="AN102" i="1" s="1"/>
  <c r="S103" i="1"/>
  <c r="AH103" i="1" s="1"/>
  <c r="T103" i="1"/>
  <c r="AI103" i="1" s="1"/>
  <c r="U103" i="1"/>
  <c r="AJ103" i="1" s="1"/>
  <c r="V103" i="1"/>
  <c r="AK103" i="1" s="1"/>
  <c r="W103" i="1"/>
  <c r="AL103" i="1" s="1"/>
  <c r="X103" i="1"/>
  <c r="AM103" i="1" s="1"/>
  <c r="Y103" i="1"/>
  <c r="AN103" i="1" s="1"/>
  <c r="S104" i="1"/>
  <c r="AH104" i="1" s="1"/>
  <c r="T104" i="1"/>
  <c r="AI104" i="1" s="1"/>
  <c r="U104" i="1"/>
  <c r="AJ104" i="1" s="1"/>
  <c r="V104" i="1"/>
  <c r="AK104" i="1" s="1"/>
  <c r="W104" i="1"/>
  <c r="AL104" i="1" s="1"/>
  <c r="X104" i="1"/>
  <c r="AM104" i="1" s="1"/>
  <c r="Y104" i="1"/>
  <c r="AN104" i="1" s="1"/>
  <c r="S105" i="1"/>
  <c r="AH105" i="1" s="1"/>
  <c r="T105" i="1"/>
  <c r="AI105" i="1" s="1"/>
  <c r="U105" i="1"/>
  <c r="AJ105" i="1" s="1"/>
  <c r="V105" i="1"/>
  <c r="AK105" i="1" s="1"/>
  <c r="W105" i="1"/>
  <c r="AL105" i="1" s="1"/>
  <c r="X105" i="1"/>
  <c r="AM105" i="1" s="1"/>
  <c r="Y105" i="1"/>
  <c r="AN105" i="1" s="1"/>
  <c r="S106" i="1"/>
  <c r="AH106" i="1" s="1"/>
  <c r="T106" i="1"/>
  <c r="AI106" i="1" s="1"/>
  <c r="U106" i="1"/>
  <c r="AJ106" i="1" s="1"/>
  <c r="V106" i="1"/>
  <c r="AK106" i="1" s="1"/>
  <c r="W106" i="1"/>
  <c r="AL106" i="1" s="1"/>
  <c r="X106" i="1"/>
  <c r="AM106" i="1" s="1"/>
  <c r="Y106" i="1"/>
  <c r="AN106" i="1" s="1"/>
  <c r="S107" i="1"/>
  <c r="AH107" i="1" s="1"/>
  <c r="T107" i="1"/>
  <c r="AI107" i="1" s="1"/>
  <c r="U107" i="1"/>
  <c r="AJ107" i="1" s="1"/>
  <c r="V107" i="1"/>
  <c r="AK107" i="1" s="1"/>
  <c r="W107" i="1"/>
  <c r="AL107" i="1" s="1"/>
  <c r="X107" i="1"/>
  <c r="AM107" i="1" s="1"/>
  <c r="Y107" i="1"/>
  <c r="AN107" i="1" s="1"/>
  <c r="S108" i="1"/>
  <c r="AH108" i="1" s="1"/>
  <c r="T108" i="1"/>
  <c r="AI108" i="1" s="1"/>
  <c r="U108" i="1"/>
  <c r="AJ108" i="1" s="1"/>
  <c r="V108" i="1"/>
  <c r="AK108" i="1" s="1"/>
  <c r="W108" i="1"/>
  <c r="AL108" i="1" s="1"/>
  <c r="W110" i="1"/>
  <c r="AL110" i="1" s="1"/>
  <c r="S111" i="1"/>
  <c r="AH111" i="1" s="1"/>
  <c r="W111" i="1"/>
  <c r="AL111" i="1" s="1"/>
  <c r="S112" i="1"/>
  <c r="AH112" i="1" s="1"/>
  <c r="V112" i="1"/>
  <c r="AK112" i="1" s="1"/>
  <c r="Y112" i="1"/>
  <c r="AN112" i="1" s="1"/>
  <c r="T113" i="1"/>
  <c r="AI113" i="1" s="1"/>
  <c r="W113" i="1"/>
  <c r="AL113" i="1" s="1"/>
  <c r="S114" i="1"/>
  <c r="AH114" i="1" s="1"/>
  <c r="V114" i="1"/>
  <c r="AK114" i="1" s="1"/>
  <c r="X114" i="1"/>
  <c r="AM114" i="1" s="1"/>
  <c r="T115" i="1"/>
  <c r="AI115" i="1" s="1"/>
  <c r="W115" i="1"/>
  <c r="AL115" i="1" s="1"/>
  <c r="S116" i="1"/>
  <c r="AH116" i="1" s="1"/>
  <c r="V116" i="1"/>
  <c r="AK116" i="1" s="1"/>
  <c r="Y116" i="1"/>
  <c r="AN116" i="1" s="1"/>
  <c r="U117" i="1"/>
  <c r="AJ117" i="1" s="1"/>
  <c r="X117" i="1"/>
  <c r="AM117" i="1" s="1"/>
  <c r="V118" i="1"/>
  <c r="AK118" i="1" s="1"/>
  <c r="Y118" i="1"/>
  <c r="AN118" i="1" s="1"/>
  <c r="U119" i="1"/>
  <c r="AJ119" i="1" s="1"/>
  <c r="X119" i="1"/>
  <c r="AM119" i="1" s="1"/>
  <c r="T120" i="1"/>
  <c r="AI120" i="1" s="1"/>
  <c r="W120" i="1"/>
  <c r="AL120" i="1" s="1"/>
  <c r="Y120" i="1"/>
  <c r="AN120" i="1" s="1"/>
  <c r="U121" i="1"/>
  <c r="AJ121" i="1" s="1"/>
  <c r="W121" i="1"/>
  <c r="AL121" i="1" s="1"/>
  <c r="S122" i="1"/>
  <c r="AH122" i="1" s="1"/>
  <c r="W122" i="1"/>
  <c r="AL122" i="1" s="1"/>
  <c r="T123" i="1"/>
  <c r="AI123" i="1" s="1"/>
  <c r="W123" i="1"/>
  <c r="AL123" i="1" s="1"/>
  <c r="S124" i="1"/>
  <c r="AH124" i="1" s="1"/>
  <c r="U124" i="1"/>
  <c r="AJ124" i="1" s="1"/>
  <c r="X124" i="1"/>
  <c r="AM124" i="1" s="1"/>
  <c r="S125" i="1"/>
  <c r="AH125" i="1" s="1"/>
  <c r="V125" i="1"/>
  <c r="AK125" i="1" s="1"/>
  <c r="Y125" i="1"/>
  <c r="AN125" i="1" s="1"/>
  <c r="U126" i="1"/>
  <c r="AJ126" i="1" s="1"/>
  <c r="X126" i="1"/>
  <c r="AM126" i="1" s="1"/>
  <c r="T127" i="1"/>
  <c r="AI127" i="1" s="1"/>
  <c r="W127" i="1"/>
  <c r="AL127" i="1" s="1"/>
  <c r="Y127" i="1"/>
  <c r="AN127" i="1" s="1"/>
  <c r="U128" i="1"/>
  <c r="AJ128" i="1" s="1"/>
  <c r="X128" i="1"/>
  <c r="AM128" i="1" s="1"/>
  <c r="S129" i="1"/>
  <c r="AH129" i="1" s="1"/>
  <c r="V129" i="1"/>
  <c r="AK129" i="1" s="1"/>
  <c r="S130" i="1"/>
  <c r="AH130" i="1" s="1"/>
  <c r="Y130" i="1"/>
  <c r="AN130" i="1" s="1"/>
  <c r="U131" i="1"/>
  <c r="AJ131" i="1" s="1"/>
  <c r="Y131" i="1"/>
  <c r="AN131" i="1" s="1"/>
  <c r="U132" i="1"/>
  <c r="AJ132" i="1" s="1"/>
  <c r="X132" i="1"/>
  <c r="AM132" i="1" s="1"/>
  <c r="T133" i="1"/>
  <c r="AI133" i="1" s="1"/>
  <c r="V133" i="1"/>
  <c r="AK133" i="1" s="1"/>
  <c r="Y133" i="1"/>
  <c r="AN133" i="1" s="1"/>
  <c r="T134" i="1"/>
  <c r="AI134" i="1" s="1"/>
  <c r="W134" i="1"/>
  <c r="AL134" i="1" s="1"/>
  <c r="S135" i="1"/>
  <c r="AH135" i="1" s="1"/>
  <c r="V135" i="1"/>
  <c r="AK135" i="1" s="1"/>
  <c r="Y135" i="1"/>
  <c r="AN135" i="1" s="1"/>
  <c r="U136" i="1"/>
  <c r="AJ136" i="1" s="1"/>
  <c r="X136" i="1"/>
  <c r="AM136" i="1" s="1"/>
  <c r="T137" i="1"/>
  <c r="AI137" i="1" s="1"/>
  <c r="V137" i="1"/>
  <c r="AK137" i="1" s="1"/>
  <c r="X137" i="1"/>
  <c r="AM137" i="1" s="1"/>
  <c r="T138" i="1"/>
  <c r="AI138" i="1" s="1"/>
  <c r="W138" i="1"/>
  <c r="AL138" i="1" s="1"/>
  <c r="S139" i="1"/>
  <c r="AH139" i="1" s="1"/>
  <c r="U139" i="1"/>
  <c r="AJ139" i="1" s="1"/>
  <c r="Y139" i="1"/>
  <c r="AN139" i="1" s="1"/>
  <c r="U140" i="1"/>
  <c r="AJ140" i="1" s="1"/>
  <c r="W140" i="1"/>
  <c r="AL140" i="1" s="1"/>
  <c r="S141" i="1"/>
  <c r="AH141" i="1" s="1"/>
  <c r="S142" i="1"/>
  <c r="AH142" i="1" s="1"/>
  <c r="V142" i="1"/>
  <c r="AK142" i="1" s="1"/>
  <c r="Y142" i="1"/>
  <c r="AN142" i="1" s="1"/>
  <c r="U143" i="1"/>
  <c r="AJ143" i="1" s="1"/>
  <c r="W143" i="1"/>
  <c r="AL143" i="1" s="1"/>
  <c r="S144" i="1"/>
  <c r="AH144" i="1" s="1"/>
  <c r="V144" i="1"/>
  <c r="AK144" i="1" s="1"/>
  <c r="Y144" i="1"/>
  <c r="AN144" i="1" s="1"/>
  <c r="U145" i="1"/>
  <c r="AJ145" i="1" s="1"/>
  <c r="X145" i="1"/>
  <c r="AM145" i="1" s="1"/>
  <c r="S146" i="1"/>
  <c r="AH146" i="1" s="1"/>
  <c r="V146" i="1"/>
  <c r="AK146" i="1" s="1"/>
  <c r="X146" i="1"/>
  <c r="AM146" i="1" s="1"/>
  <c r="T147" i="1"/>
  <c r="AI147" i="1" s="1"/>
  <c r="W147" i="1"/>
  <c r="AL147" i="1" s="1"/>
  <c r="Y147" i="1"/>
  <c r="AN147" i="1" s="1"/>
  <c r="U148" i="1"/>
  <c r="AJ148" i="1" s="1"/>
  <c r="X148" i="1"/>
  <c r="AM148" i="1" s="1"/>
  <c r="T149" i="1"/>
  <c r="AI149" i="1" s="1"/>
  <c r="W149" i="1"/>
  <c r="AL149" i="1" s="1"/>
  <c r="Y149" i="1"/>
  <c r="AN149" i="1" s="1"/>
  <c r="U150" i="1"/>
  <c r="AJ150" i="1" s="1"/>
  <c r="X150" i="1"/>
  <c r="AM150" i="1" s="1"/>
  <c r="U151" i="1"/>
  <c r="AJ151" i="1" s="1"/>
  <c r="X151" i="1"/>
  <c r="AM151" i="1" s="1"/>
  <c r="T152" i="1"/>
  <c r="AI152" i="1" s="1"/>
  <c r="W152" i="1"/>
  <c r="AL152" i="1" s="1"/>
  <c r="S153" i="1"/>
  <c r="AH153" i="1" s="1"/>
  <c r="U153" i="1"/>
  <c r="AJ153" i="1" s="1"/>
  <c r="X153" i="1"/>
  <c r="AM153" i="1" s="1"/>
  <c r="T154" i="1"/>
  <c r="AI154" i="1" s="1"/>
  <c r="W154" i="1"/>
  <c r="AL154" i="1" s="1"/>
  <c r="S155" i="1"/>
  <c r="AH155" i="1" s="1"/>
  <c r="V155" i="1"/>
  <c r="AK155" i="1" s="1"/>
  <c r="X155" i="1"/>
  <c r="AM155" i="1" s="1"/>
  <c r="T156" i="1"/>
  <c r="AI156" i="1" s="1"/>
  <c r="T157" i="1"/>
  <c r="AI157" i="1" s="1"/>
  <c r="W157" i="1"/>
  <c r="AL157" i="1" s="1"/>
  <c r="S158" i="1"/>
  <c r="AH158" i="1" s="1"/>
  <c r="V158" i="1"/>
  <c r="AK158" i="1" s="1"/>
  <c r="X158" i="1"/>
  <c r="AM158" i="1" s="1"/>
  <c r="V159" i="1"/>
  <c r="AK159" i="1" s="1"/>
  <c r="Y159" i="1"/>
  <c r="AN159" i="1" s="1"/>
  <c r="S160" i="1"/>
  <c r="AH160" i="1" s="1"/>
  <c r="X160" i="1"/>
  <c r="AM160" i="1" s="1"/>
  <c r="T161" i="1"/>
  <c r="AI161" i="1" s="1"/>
  <c r="W161" i="1"/>
  <c r="AL161" i="1" s="1"/>
  <c r="S204" i="1"/>
  <c r="AH204" i="1" s="1"/>
  <c r="Y204" i="1"/>
  <c r="AN204" i="1" s="1"/>
  <c r="X205" i="1"/>
  <c r="AM205" i="1" s="1"/>
  <c r="U206" i="1"/>
  <c r="AJ206" i="1" s="1"/>
  <c r="V207" i="1"/>
  <c r="AK207" i="1" s="1"/>
  <c r="Y207" i="1"/>
  <c r="AN207" i="1" s="1"/>
  <c r="W209" i="1"/>
  <c r="AL209" i="1" s="1"/>
  <c r="S210" i="1"/>
  <c r="AH210" i="1" s="1"/>
  <c r="Y210" i="1"/>
  <c r="AN210" i="1" s="1"/>
  <c r="T212" i="1"/>
  <c r="AI212" i="1" s="1"/>
  <c r="X213" i="1"/>
  <c r="AM213" i="1" s="1"/>
  <c r="T214" i="1"/>
  <c r="AI214" i="1" s="1"/>
  <c r="Y215" i="1"/>
  <c r="AN215" i="1" s="1"/>
  <c r="T217" i="1"/>
  <c r="AI217" i="1" s="1"/>
  <c r="S219" i="1"/>
  <c r="AH219" i="1" s="1"/>
  <c r="T224" i="1"/>
  <c r="AI224" i="1" s="1"/>
  <c r="S229" i="1"/>
  <c r="AH229" i="1" s="1"/>
  <c r="T231" i="1"/>
  <c r="AI231" i="1" s="1"/>
  <c r="Y161" i="1"/>
  <c r="AN161" i="1" s="1"/>
  <c r="S162" i="1"/>
  <c r="AH162" i="1" s="1"/>
  <c r="T162" i="1"/>
  <c r="AI162" i="1" s="1"/>
  <c r="U162" i="1"/>
  <c r="AJ162" i="1" s="1"/>
  <c r="V162" i="1"/>
  <c r="AK162" i="1" s="1"/>
  <c r="W162" i="1"/>
  <c r="AL162" i="1" s="1"/>
  <c r="X162" i="1"/>
  <c r="AM162" i="1" s="1"/>
  <c r="Y162" i="1"/>
  <c r="AN162" i="1" s="1"/>
  <c r="S163" i="1"/>
  <c r="AH163" i="1" s="1"/>
  <c r="T163" i="1"/>
  <c r="AI163" i="1" s="1"/>
  <c r="U163" i="1"/>
  <c r="AJ163" i="1" s="1"/>
  <c r="V163" i="1"/>
  <c r="AK163" i="1" s="1"/>
  <c r="W163" i="1"/>
  <c r="AL163" i="1" s="1"/>
  <c r="X163" i="1"/>
  <c r="AM163" i="1" s="1"/>
  <c r="Y163" i="1"/>
  <c r="AN163" i="1" s="1"/>
  <c r="S164" i="1"/>
  <c r="AH164" i="1" s="1"/>
  <c r="T164" i="1"/>
  <c r="AI164" i="1" s="1"/>
  <c r="U164" i="1"/>
  <c r="AJ164" i="1" s="1"/>
  <c r="V164" i="1"/>
  <c r="AK164" i="1" s="1"/>
  <c r="W164" i="1"/>
  <c r="AL164" i="1" s="1"/>
  <c r="X164" i="1"/>
  <c r="AM164" i="1" s="1"/>
  <c r="Y164" i="1"/>
  <c r="AN164" i="1" s="1"/>
  <c r="S165" i="1"/>
  <c r="AH165" i="1" s="1"/>
  <c r="T165" i="1"/>
  <c r="AI165" i="1" s="1"/>
  <c r="U165" i="1"/>
  <c r="AJ165" i="1" s="1"/>
  <c r="V165" i="1"/>
  <c r="AK165" i="1" s="1"/>
  <c r="W165" i="1"/>
  <c r="AL165" i="1" s="1"/>
  <c r="X165" i="1"/>
  <c r="AM165" i="1" s="1"/>
  <c r="Y165" i="1"/>
  <c r="AN165" i="1" s="1"/>
  <c r="S166" i="1"/>
  <c r="AH166" i="1" s="1"/>
  <c r="T166" i="1"/>
  <c r="AI166" i="1" s="1"/>
  <c r="U166" i="1"/>
  <c r="AJ166" i="1" s="1"/>
  <c r="V166" i="1"/>
  <c r="AK166" i="1" s="1"/>
  <c r="W166" i="1"/>
  <c r="AL166" i="1" s="1"/>
  <c r="X166" i="1"/>
  <c r="AM166" i="1" s="1"/>
  <c r="Y166" i="1"/>
  <c r="AN166" i="1" s="1"/>
  <c r="S167" i="1"/>
  <c r="AH167" i="1" s="1"/>
  <c r="T167" i="1"/>
  <c r="AI167" i="1" s="1"/>
  <c r="U167" i="1"/>
  <c r="AJ167" i="1" s="1"/>
  <c r="V167" i="1"/>
  <c r="AK167" i="1" s="1"/>
  <c r="W167" i="1"/>
  <c r="AL167" i="1" s="1"/>
  <c r="X167" i="1"/>
  <c r="AM167" i="1" s="1"/>
  <c r="Y167" i="1"/>
  <c r="AN167" i="1" s="1"/>
  <c r="S168" i="1"/>
  <c r="AH168" i="1" s="1"/>
  <c r="T168" i="1"/>
  <c r="AI168" i="1" s="1"/>
  <c r="U168" i="1"/>
  <c r="AJ168" i="1" s="1"/>
  <c r="V168" i="1"/>
  <c r="AK168" i="1" s="1"/>
  <c r="W168" i="1"/>
  <c r="AL168" i="1" s="1"/>
  <c r="X168" i="1"/>
  <c r="AM168" i="1" s="1"/>
  <c r="Y168" i="1"/>
  <c r="AN168" i="1" s="1"/>
  <c r="S169" i="1"/>
  <c r="AH169" i="1" s="1"/>
  <c r="T169" i="1"/>
  <c r="AI169" i="1" s="1"/>
  <c r="U169" i="1"/>
  <c r="AJ169" i="1" s="1"/>
  <c r="V169" i="1"/>
  <c r="AK169" i="1" s="1"/>
  <c r="W169" i="1"/>
  <c r="AL169" i="1" s="1"/>
  <c r="X169" i="1"/>
  <c r="AM169" i="1" s="1"/>
  <c r="Y169" i="1"/>
  <c r="AN169" i="1" s="1"/>
  <c r="S170" i="1"/>
  <c r="AH170" i="1" s="1"/>
  <c r="T170" i="1"/>
  <c r="AI170" i="1" s="1"/>
  <c r="U170" i="1"/>
  <c r="AJ170" i="1" s="1"/>
  <c r="V170" i="1"/>
  <c r="AK170" i="1" s="1"/>
  <c r="W170" i="1"/>
  <c r="AL170" i="1" s="1"/>
  <c r="X170" i="1"/>
  <c r="AM170" i="1" s="1"/>
  <c r="Y170" i="1"/>
  <c r="AN170" i="1" s="1"/>
  <c r="S171" i="1"/>
  <c r="AH171" i="1" s="1"/>
  <c r="T171" i="1"/>
  <c r="AI171" i="1" s="1"/>
  <c r="U171" i="1"/>
  <c r="AJ171" i="1" s="1"/>
  <c r="V171" i="1"/>
  <c r="AK171" i="1" s="1"/>
  <c r="W171" i="1"/>
  <c r="AL171" i="1" s="1"/>
  <c r="X171" i="1"/>
  <c r="AM171" i="1" s="1"/>
  <c r="Y171" i="1"/>
  <c r="AN171" i="1" s="1"/>
  <c r="S172" i="1"/>
  <c r="AH172" i="1" s="1"/>
  <c r="T172" i="1"/>
  <c r="AI172" i="1" s="1"/>
  <c r="U172" i="1"/>
  <c r="AJ172" i="1" s="1"/>
  <c r="V172" i="1"/>
  <c r="AK172" i="1" s="1"/>
  <c r="W172" i="1"/>
  <c r="AL172" i="1" s="1"/>
  <c r="X172" i="1"/>
  <c r="AM172" i="1" s="1"/>
  <c r="Y172" i="1"/>
  <c r="AN172" i="1" s="1"/>
  <c r="S173" i="1"/>
  <c r="AH173" i="1" s="1"/>
  <c r="T173" i="1"/>
  <c r="AI173" i="1" s="1"/>
  <c r="U173" i="1"/>
  <c r="AJ173" i="1" s="1"/>
  <c r="V173" i="1"/>
  <c r="AK173" i="1" s="1"/>
  <c r="W173" i="1"/>
  <c r="AL173" i="1" s="1"/>
  <c r="X173" i="1"/>
  <c r="AM173" i="1" s="1"/>
  <c r="Y173" i="1"/>
  <c r="AN173" i="1" s="1"/>
  <c r="S174" i="1"/>
  <c r="AH174" i="1" s="1"/>
  <c r="T174" i="1"/>
  <c r="AI174" i="1" s="1"/>
  <c r="U174" i="1"/>
  <c r="AJ174" i="1" s="1"/>
  <c r="V174" i="1"/>
  <c r="AK174" i="1" s="1"/>
  <c r="W174" i="1"/>
  <c r="AL174" i="1" s="1"/>
  <c r="X174" i="1"/>
  <c r="AM174" i="1" s="1"/>
  <c r="Y174" i="1"/>
  <c r="AN174" i="1" s="1"/>
  <c r="S175" i="1"/>
  <c r="AH175" i="1" s="1"/>
  <c r="T175" i="1"/>
  <c r="AI175" i="1" s="1"/>
  <c r="U175" i="1"/>
  <c r="AJ175" i="1" s="1"/>
  <c r="V175" i="1"/>
  <c r="AK175" i="1" s="1"/>
  <c r="W175" i="1"/>
  <c r="AL175" i="1" s="1"/>
  <c r="X175" i="1"/>
  <c r="AM175" i="1" s="1"/>
  <c r="Y175" i="1"/>
  <c r="AN175" i="1" s="1"/>
  <c r="S176" i="1"/>
  <c r="AH176" i="1" s="1"/>
  <c r="T176" i="1"/>
  <c r="AI176" i="1" s="1"/>
  <c r="U176" i="1"/>
  <c r="AJ176" i="1" s="1"/>
  <c r="V176" i="1"/>
  <c r="AK176" i="1" s="1"/>
  <c r="W176" i="1"/>
  <c r="AL176" i="1" s="1"/>
  <c r="X176" i="1"/>
  <c r="AM176" i="1" s="1"/>
  <c r="Y176" i="1"/>
  <c r="AN176" i="1" s="1"/>
  <c r="S177" i="1"/>
  <c r="AH177" i="1" s="1"/>
  <c r="T177" i="1"/>
  <c r="AI177" i="1" s="1"/>
  <c r="U177" i="1"/>
  <c r="AJ177" i="1" s="1"/>
  <c r="V177" i="1"/>
  <c r="AK177" i="1" s="1"/>
  <c r="W177" i="1"/>
  <c r="AL177" i="1" s="1"/>
  <c r="X177" i="1"/>
  <c r="AM177" i="1" s="1"/>
  <c r="Y177" i="1"/>
  <c r="AN177" i="1" s="1"/>
  <c r="S178" i="1"/>
  <c r="AH178" i="1" s="1"/>
  <c r="T178" i="1"/>
  <c r="AI178" i="1" s="1"/>
  <c r="U178" i="1"/>
  <c r="AJ178" i="1" s="1"/>
  <c r="V178" i="1"/>
  <c r="AK178" i="1" s="1"/>
  <c r="W178" i="1"/>
  <c r="AL178" i="1" s="1"/>
  <c r="X178" i="1"/>
  <c r="AM178" i="1" s="1"/>
  <c r="Y178" i="1"/>
  <c r="AN178" i="1" s="1"/>
  <c r="S179" i="1"/>
  <c r="AH179" i="1" s="1"/>
  <c r="T179" i="1"/>
  <c r="AI179" i="1" s="1"/>
  <c r="U179" i="1"/>
  <c r="AJ179" i="1" s="1"/>
  <c r="V179" i="1"/>
  <c r="AK179" i="1" s="1"/>
  <c r="W179" i="1"/>
  <c r="AL179" i="1" s="1"/>
  <c r="X179" i="1"/>
  <c r="AM179" i="1" s="1"/>
  <c r="Y179" i="1"/>
  <c r="AN179" i="1" s="1"/>
  <c r="S180" i="1"/>
  <c r="AH180" i="1" s="1"/>
  <c r="T180" i="1"/>
  <c r="AI180" i="1" s="1"/>
  <c r="U180" i="1"/>
  <c r="AJ180" i="1" s="1"/>
  <c r="V180" i="1"/>
  <c r="AK180" i="1" s="1"/>
  <c r="W180" i="1"/>
  <c r="AL180" i="1" s="1"/>
  <c r="X180" i="1"/>
  <c r="AM180" i="1" s="1"/>
  <c r="Y180" i="1"/>
  <c r="AN180" i="1" s="1"/>
  <c r="S181" i="1"/>
  <c r="AH181" i="1" s="1"/>
  <c r="T181" i="1"/>
  <c r="AI181" i="1" s="1"/>
  <c r="U181" i="1"/>
  <c r="AJ181" i="1" s="1"/>
  <c r="V181" i="1"/>
  <c r="AK181" i="1" s="1"/>
  <c r="W181" i="1"/>
  <c r="AL181" i="1" s="1"/>
  <c r="X181" i="1"/>
  <c r="AM181" i="1" s="1"/>
  <c r="Y181" i="1"/>
  <c r="AN181" i="1" s="1"/>
  <c r="S182" i="1"/>
  <c r="AH182" i="1" s="1"/>
  <c r="T182" i="1"/>
  <c r="AI182" i="1" s="1"/>
  <c r="U182" i="1"/>
  <c r="AJ182" i="1" s="1"/>
  <c r="V182" i="1"/>
  <c r="AK182" i="1" s="1"/>
  <c r="W182" i="1"/>
  <c r="AL182" i="1" s="1"/>
  <c r="X182" i="1"/>
  <c r="AM182" i="1" s="1"/>
  <c r="Y182" i="1"/>
  <c r="AN182" i="1" s="1"/>
  <c r="S183" i="1"/>
  <c r="AH183" i="1" s="1"/>
  <c r="T183" i="1"/>
  <c r="AI183" i="1" s="1"/>
  <c r="U183" i="1"/>
  <c r="AJ183" i="1" s="1"/>
  <c r="V183" i="1"/>
  <c r="AK183" i="1" s="1"/>
  <c r="W183" i="1"/>
  <c r="AL183" i="1" s="1"/>
  <c r="X183" i="1"/>
  <c r="AM183" i="1" s="1"/>
  <c r="Y183" i="1"/>
  <c r="AN183" i="1" s="1"/>
  <c r="S184" i="1"/>
  <c r="AH184" i="1" s="1"/>
  <c r="T184" i="1"/>
  <c r="AI184" i="1" s="1"/>
  <c r="U184" i="1"/>
  <c r="AJ184" i="1" s="1"/>
  <c r="V184" i="1"/>
  <c r="AK184" i="1" s="1"/>
  <c r="W184" i="1"/>
  <c r="AL184" i="1" s="1"/>
  <c r="X184" i="1"/>
  <c r="AM184" i="1" s="1"/>
  <c r="Y184" i="1"/>
  <c r="AN184" i="1" s="1"/>
  <c r="S185" i="1"/>
  <c r="AH185" i="1" s="1"/>
  <c r="T185" i="1"/>
  <c r="AI185" i="1" s="1"/>
  <c r="U185" i="1"/>
  <c r="AJ185" i="1" s="1"/>
  <c r="V185" i="1"/>
  <c r="AK185" i="1" s="1"/>
  <c r="W185" i="1"/>
  <c r="AL185" i="1" s="1"/>
  <c r="X185" i="1"/>
  <c r="AM185" i="1" s="1"/>
  <c r="Y185" i="1"/>
  <c r="AN185" i="1" s="1"/>
  <c r="S186" i="1"/>
  <c r="AH186" i="1" s="1"/>
  <c r="T186" i="1"/>
  <c r="AI186" i="1" s="1"/>
  <c r="U186" i="1"/>
  <c r="AJ186" i="1" s="1"/>
  <c r="V186" i="1"/>
  <c r="AK186" i="1" s="1"/>
  <c r="W186" i="1"/>
  <c r="AL186" i="1" s="1"/>
  <c r="X186" i="1"/>
  <c r="AM186" i="1" s="1"/>
  <c r="Y186" i="1"/>
  <c r="AN186" i="1" s="1"/>
  <c r="S187" i="1"/>
  <c r="AH187" i="1" s="1"/>
  <c r="T187" i="1"/>
  <c r="AI187" i="1" s="1"/>
  <c r="U187" i="1"/>
  <c r="AJ187" i="1" s="1"/>
  <c r="V187" i="1"/>
  <c r="AK187" i="1" s="1"/>
  <c r="W187" i="1"/>
  <c r="AL187" i="1" s="1"/>
  <c r="X187" i="1"/>
  <c r="AM187" i="1" s="1"/>
  <c r="Y187" i="1"/>
  <c r="AN187" i="1" s="1"/>
  <c r="S188" i="1"/>
  <c r="AH188" i="1" s="1"/>
  <c r="T188" i="1"/>
  <c r="AI188" i="1" s="1"/>
  <c r="U188" i="1"/>
  <c r="AJ188" i="1" s="1"/>
  <c r="V188" i="1"/>
  <c r="AK188" i="1" s="1"/>
  <c r="W188" i="1"/>
  <c r="AL188" i="1" s="1"/>
  <c r="X188" i="1"/>
  <c r="AM188" i="1" s="1"/>
  <c r="Y188" i="1"/>
  <c r="AN188" i="1" s="1"/>
  <c r="S189" i="1"/>
  <c r="AH189" i="1" s="1"/>
  <c r="T189" i="1"/>
  <c r="AI189" i="1" s="1"/>
  <c r="U189" i="1"/>
  <c r="AJ189" i="1" s="1"/>
  <c r="V189" i="1"/>
  <c r="AK189" i="1" s="1"/>
  <c r="W189" i="1"/>
  <c r="AL189" i="1" s="1"/>
  <c r="X189" i="1"/>
  <c r="AM189" i="1" s="1"/>
  <c r="Y189" i="1"/>
  <c r="AN189" i="1" s="1"/>
  <c r="S190" i="1"/>
  <c r="AH190" i="1" s="1"/>
  <c r="T190" i="1"/>
  <c r="AI190" i="1" s="1"/>
  <c r="U190" i="1"/>
  <c r="AJ190" i="1" s="1"/>
  <c r="V190" i="1"/>
  <c r="AK190" i="1" s="1"/>
  <c r="W190" i="1"/>
  <c r="AL190" i="1" s="1"/>
  <c r="X190" i="1"/>
  <c r="AM190" i="1" s="1"/>
  <c r="Y190" i="1"/>
  <c r="AN190" i="1" s="1"/>
  <c r="S191" i="1"/>
  <c r="AH191" i="1" s="1"/>
  <c r="T191" i="1"/>
  <c r="AI191" i="1" s="1"/>
  <c r="U191" i="1"/>
  <c r="AJ191" i="1" s="1"/>
  <c r="V191" i="1"/>
  <c r="AK191" i="1" s="1"/>
  <c r="W191" i="1"/>
  <c r="AL191" i="1" s="1"/>
  <c r="X191" i="1"/>
  <c r="AM191" i="1" s="1"/>
  <c r="Y191" i="1"/>
  <c r="AN191" i="1" s="1"/>
  <c r="S192" i="1"/>
  <c r="AH192" i="1" s="1"/>
  <c r="T192" i="1"/>
  <c r="AI192" i="1" s="1"/>
  <c r="U192" i="1"/>
  <c r="AJ192" i="1" s="1"/>
  <c r="V192" i="1"/>
  <c r="AK192" i="1" s="1"/>
  <c r="W192" i="1"/>
  <c r="AL192" i="1" s="1"/>
  <c r="X192" i="1"/>
  <c r="AM192" i="1" s="1"/>
  <c r="Y192" i="1"/>
  <c r="AN192" i="1" s="1"/>
  <c r="S193" i="1"/>
  <c r="AH193" i="1" s="1"/>
  <c r="T193" i="1"/>
  <c r="AI193" i="1" s="1"/>
  <c r="U193" i="1"/>
  <c r="AJ193" i="1" s="1"/>
  <c r="V193" i="1"/>
  <c r="AK193" i="1" s="1"/>
  <c r="W193" i="1"/>
  <c r="AL193" i="1" s="1"/>
  <c r="X193" i="1"/>
  <c r="AM193" i="1" s="1"/>
  <c r="Y193" i="1"/>
  <c r="AN193" i="1" s="1"/>
  <c r="S194" i="1"/>
  <c r="AH194" i="1" s="1"/>
  <c r="T194" i="1"/>
  <c r="AI194" i="1" s="1"/>
  <c r="U194" i="1"/>
  <c r="AJ194" i="1" s="1"/>
  <c r="V194" i="1"/>
  <c r="AK194" i="1" s="1"/>
  <c r="W194" i="1"/>
  <c r="AL194" i="1" s="1"/>
  <c r="X194" i="1"/>
  <c r="AM194" i="1" s="1"/>
  <c r="Y194" i="1"/>
  <c r="AN194" i="1" s="1"/>
  <c r="S195" i="1"/>
  <c r="AH195" i="1" s="1"/>
  <c r="T195" i="1"/>
  <c r="AI195" i="1" s="1"/>
  <c r="U195" i="1"/>
  <c r="AJ195" i="1" s="1"/>
  <c r="V195" i="1"/>
  <c r="AK195" i="1" s="1"/>
  <c r="W195" i="1"/>
  <c r="AL195" i="1" s="1"/>
  <c r="X195" i="1"/>
  <c r="AM195" i="1" s="1"/>
  <c r="Y195" i="1"/>
  <c r="AN195" i="1" s="1"/>
  <c r="S196" i="1"/>
  <c r="AH196" i="1" s="1"/>
  <c r="T196" i="1"/>
  <c r="AI196" i="1" s="1"/>
  <c r="U196" i="1"/>
  <c r="AJ196" i="1" s="1"/>
  <c r="V196" i="1"/>
  <c r="AK196" i="1" s="1"/>
  <c r="W196" i="1"/>
  <c r="AL196" i="1" s="1"/>
  <c r="X196" i="1"/>
  <c r="AM196" i="1" s="1"/>
  <c r="Y196" i="1"/>
  <c r="AN196" i="1" s="1"/>
  <c r="S197" i="1"/>
  <c r="AH197" i="1" s="1"/>
  <c r="T197" i="1"/>
  <c r="AI197" i="1" s="1"/>
  <c r="U197" i="1"/>
  <c r="AJ197" i="1" s="1"/>
  <c r="V197" i="1"/>
  <c r="AK197" i="1" s="1"/>
  <c r="W197" i="1"/>
  <c r="AL197" i="1" s="1"/>
  <c r="X197" i="1"/>
  <c r="AM197" i="1" s="1"/>
  <c r="Y197" i="1"/>
  <c r="AN197" i="1" s="1"/>
  <c r="S198" i="1"/>
  <c r="AH198" i="1" s="1"/>
  <c r="T198" i="1"/>
  <c r="AI198" i="1" s="1"/>
  <c r="U198" i="1"/>
  <c r="AJ198" i="1" s="1"/>
  <c r="V198" i="1"/>
  <c r="AK198" i="1" s="1"/>
  <c r="W198" i="1"/>
  <c r="AL198" i="1" s="1"/>
  <c r="X198" i="1"/>
  <c r="AM198" i="1" s="1"/>
  <c r="Y198" i="1"/>
  <c r="AN198" i="1" s="1"/>
  <c r="S199" i="1"/>
  <c r="AH199" i="1" s="1"/>
  <c r="T199" i="1"/>
  <c r="AI199" i="1" s="1"/>
  <c r="U199" i="1"/>
  <c r="AJ199" i="1" s="1"/>
  <c r="V199" i="1"/>
  <c r="AK199" i="1" s="1"/>
  <c r="W199" i="1"/>
  <c r="AL199" i="1" s="1"/>
  <c r="X199" i="1"/>
  <c r="AM199" i="1" s="1"/>
  <c r="Y199" i="1"/>
  <c r="AN199" i="1" s="1"/>
  <c r="S200" i="1"/>
  <c r="AH200" i="1" s="1"/>
  <c r="T200" i="1"/>
  <c r="AI200" i="1" s="1"/>
  <c r="U200" i="1"/>
  <c r="AJ200" i="1" s="1"/>
  <c r="V200" i="1"/>
  <c r="AK200" i="1" s="1"/>
  <c r="W200" i="1"/>
  <c r="AL200" i="1" s="1"/>
  <c r="X200" i="1"/>
  <c r="AM200" i="1" s="1"/>
  <c r="Y200" i="1"/>
  <c r="AN200" i="1" s="1"/>
  <c r="S201" i="1"/>
  <c r="AH201" i="1" s="1"/>
  <c r="T201" i="1"/>
  <c r="AI201" i="1" s="1"/>
  <c r="U201" i="1"/>
  <c r="AJ201" i="1" s="1"/>
  <c r="V201" i="1"/>
  <c r="AK201" i="1" s="1"/>
  <c r="W201" i="1"/>
  <c r="AL201" i="1" s="1"/>
  <c r="X201" i="1"/>
  <c r="AM201" i="1" s="1"/>
  <c r="S202" i="1"/>
  <c r="AH202" i="1" s="1"/>
  <c r="X202" i="1"/>
  <c r="AM202" i="1" s="1"/>
  <c r="V203" i="1"/>
  <c r="AK203" i="1" s="1"/>
  <c r="T204" i="1"/>
  <c r="AI204" i="1" s="1"/>
  <c r="W204" i="1"/>
  <c r="AL204" i="1" s="1"/>
  <c r="S205" i="1"/>
  <c r="AH205" i="1" s="1"/>
  <c r="V205" i="1"/>
  <c r="AK205" i="1" s="1"/>
  <c r="S206" i="1"/>
  <c r="AH206" i="1" s="1"/>
  <c r="V206" i="1"/>
  <c r="AK206" i="1" s="1"/>
  <c r="Y206" i="1"/>
  <c r="AN206" i="1" s="1"/>
  <c r="U207" i="1"/>
  <c r="AJ207" i="1" s="1"/>
  <c r="X207" i="1"/>
  <c r="AM207" i="1" s="1"/>
  <c r="T208" i="1"/>
  <c r="AI208" i="1" s="1"/>
  <c r="W208" i="1"/>
  <c r="AL208" i="1" s="1"/>
  <c r="Y208" i="1"/>
  <c r="AN208" i="1" s="1"/>
  <c r="T209" i="1"/>
  <c r="AI209" i="1" s="1"/>
  <c r="T210" i="1"/>
  <c r="AI210" i="1" s="1"/>
  <c r="X210" i="1"/>
  <c r="AM210" i="1" s="1"/>
  <c r="S211" i="1"/>
  <c r="AH211" i="1" s="1"/>
  <c r="W211" i="1"/>
  <c r="AL211" i="1" s="1"/>
  <c r="Y211" i="1"/>
  <c r="AN211" i="1" s="1"/>
  <c r="Y212" i="1"/>
  <c r="AN212" i="1" s="1"/>
  <c r="Y213" i="1"/>
  <c r="AN213" i="1" s="1"/>
  <c r="Y214" i="1"/>
  <c r="AN214" i="1" s="1"/>
  <c r="S218" i="1"/>
  <c r="AH218" i="1" s="1"/>
  <c r="S220" i="1"/>
  <c r="AH220" i="1" s="1"/>
  <c r="S221" i="1"/>
  <c r="AH221" i="1" s="1"/>
  <c r="S225" i="1"/>
  <c r="AH225" i="1" s="1"/>
  <c r="T226" i="1"/>
  <c r="AI226" i="1" s="1"/>
  <c r="S228" i="1"/>
  <c r="AH228" i="1" s="1"/>
  <c r="T229" i="1"/>
  <c r="AI229" i="1" s="1"/>
  <c r="T230" i="1"/>
  <c r="AI230" i="1" s="1"/>
  <c r="X263" i="1"/>
  <c r="AM263" i="1" s="1"/>
  <c r="W365" i="1"/>
  <c r="AL365" i="1" s="1"/>
  <c r="X365" i="1"/>
  <c r="AM365" i="1" s="1"/>
  <c r="Y365" i="1"/>
  <c r="AN365" i="1" s="1"/>
  <c r="S366" i="1"/>
  <c r="AH366" i="1" s="1"/>
  <c r="T366" i="1"/>
  <c r="AI366" i="1" s="1"/>
  <c r="U366" i="1"/>
  <c r="AJ366" i="1" s="1"/>
  <c r="V366" i="1"/>
  <c r="AK366" i="1" s="1"/>
  <c r="W366" i="1"/>
  <c r="AL366" i="1" s="1"/>
  <c r="X366" i="1"/>
  <c r="AM366" i="1" s="1"/>
  <c r="Y366" i="1"/>
  <c r="AN366" i="1" s="1"/>
  <c r="S367" i="1"/>
  <c r="AH367" i="1" s="1"/>
  <c r="T367" i="1"/>
  <c r="AI367" i="1" s="1"/>
  <c r="U367" i="1"/>
  <c r="AJ367" i="1" s="1"/>
  <c r="V367" i="1"/>
  <c r="AK367" i="1" s="1"/>
  <c r="W367" i="1"/>
  <c r="AL367" i="1" s="1"/>
  <c r="X367" i="1"/>
  <c r="AM367" i="1" s="1"/>
  <c r="Y367" i="1"/>
  <c r="AN367" i="1" s="1"/>
  <c r="S368" i="1"/>
  <c r="AH368" i="1" s="1"/>
  <c r="T368" i="1"/>
  <c r="AI368" i="1" s="1"/>
  <c r="U368" i="1"/>
  <c r="AJ368" i="1" s="1"/>
  <c r="V368" i="1"/>
  <c r="AK368" i="1" s="1"/>
  <c r="W368" i="1"/>
  <c r="AL368" i="1" s="1"/>
  <c r="X368" i="1"/>
  <c r="AM368" i="1" s="1"/>
  <c r="Y368" i="1"/>
  <c r="AN368" i="1" s="1"/>
  <c r="S369" i="1"/>
  <c r="AH369" i="1" s="1"/>
  <c r="T369" i="1"/>
  <c r="AI369" i="1" s="1"/>
  <c r="U369" i="1"/>
  <c r="AJ369" i="1" s="1"/>
  <c r="V369" i="1"/>
  <c r="AK369" i="1" s="1"/>
  <c r="W369" i="1"/>
  <c r="AL369" i="1" s="1"/>
  <c r="X369" i="1"/>
  <c r="AM369" i="1" s="1"/>
  <c r="Y369" i="1"/>
  <c r="AN369" i="1" s="1"/>
  <c r="S370" i="1"/>
  <c r="AH370" i="1" s="1"/>
  <c r="T370" i="1"/>
  <c r="AI370" i="1" s="1"/>
  <c r="U370" i="1"/>
  <c r="AJ370" i="1" s="1"/>
  <c r="V370" i="1"/>
  <c r="AK370" i="1" s="1"/>
  <c r="W370" i="1"/>
  <c r="AL370" i="1" s="1"/>
  <c r="X370" i="1"/>
  <c r="AM370" i="1" s="1"/>
  <c r="Y370" i="1"/>
  <c r="AN370" i="1" s="1"/>
  <c r="S371" i="1"/>
  <c r="AH371" i="1" s="1"/>
  <c r="T371" i="1"/>
  <c r="AI371" i="1" s="1"/>
  <c r="U371" i="1"/>
  <c r="AJ371" i="1" s="1"/>
  <c r="V371" i="1"/>
  <c r="AK371" i="1" s="1"/>
  <c r="W371" i="1"/>
  <c r="AL371" i="1" s="1"/>
  <c r="X371" i="1"/>
  <c r="AM371" i="1" s="1"/>
  <c r="Y371" i="1"/>
  <c r="AN371" i="1" s="1"/>
  <c r="S372" i="1"/>
  <c r="AH372" i="1" s="1"/>
  <c r="T372" i="1"/>
  <c r="AI372" i="1" s="1"/>
  <c r="U372" i="1"/>
  <c r="AJ372" i="1" s="1"/>
  <c r="V372" i="1"/>
  <c r="AK372" i="1" s="1"/>
  <c r="W372" i="1"/>
  <c r="AL372" i="1" s="1"/>
  <c r="X372" i="1"/>
  <c r="AM372" i="1" s="1"/>
  <c r="Y372" i="1"/>
  <c r="AN372" i="1" s="1"/>
  <c r="S373" i="1"/>
  <c r="AH373" i="1" s="1"/>
  <c r="T373" i="1"/>
  <c r="AI373" i="1" s="1"/>
  <c r="U373" i="1"/>
  <c r="AJ373" i="1" s="1"/>
  <c r="V373" i="1"/>
  <c r="AK373" i="1" s="1"/>
  <c r="W373" i="1"/>
  <c r="AL373" i="1" s="1"/>
  <c r="X373" i="1"/>
  <c r="AM373" i="1" s="1"/>
  <c r="Y373" i="1"/>
  <c r="AN373" i="1" s="1"/>
  <c r="S374" i="1"/>
  <c r="AH374" i="1" s="1"/>
  <c r="T374" i="1"/>
  <c r="AI374" i="1" s="1"/>
  <c r="U374" i="1"/>
  <c r="AJ374" i="1" s="1"/>
  <c r="V374" i="1"/>
  <c r="AK374" i="1" s="1"/>
  <c r="W374" i="1"/>
  <c r="AL374" i="1" s="1"/>
  <c r="X374" i="1"/>
  <c r="AM374" i="1" s="1"/>
  <c r="Y374" i="1"/>
  <c r="AN374" i="1" s="1"/>
  <c r="S375" i="1"/>
  <c r="AH375" i="1" s="1"/>
  <c r="T375" i="1"/>
  <c r="AI375" i="1" s="1"/>
  <c r="U375" i="1"/>
  <c r="AJ375" i="1" s="1"/>
  <c r="V375" i="1"/>
  <c r="AK375" i="1" s="1"/>
  <c r="W375" i="1"/>
  <c r="AL375" i="1" s="1"/>
  <c r="X375" i="1"/>
  <c r="AM375" i="1" s="1"/>
  <c r="Y375" i="1"/>
  <c r="AN375" i="1" s="1"/>
  <c r="S376" i="1"/>
  <c r="AH376" i="1" s="1"/>
  <c r="T376" i="1"/>
  <c r="AI376" i="1" s="1"/>
  <c r="U376" i="1"/>
  <c r="AJ376" i="1" s="1"/>
  <c r="V376" i="1"/>
  <c r="AK376" i="1" s="1"/>
  <c r="W376" i="1"/>
  <c r="AL376" i="1" s="1"/>
  <c r="X376" i="1"/>
  <c r="AM376" i="1" s="1"/>
  <c r="Y376" i="1"/>
  <c r="AN376" i="1" s="1"/>
  <c r="S377" i="1"/>
  <c r="AH377" i="1" s="1"/>
  <c r="T377" i="1"/>
  <c r="AI377" i="1" s="1"/>
  <c r="U377" i="1"/>
  <c r="AJ377" i="1" s="1"/>
  <c r="V377" i="1"/>
  <c r="AK377" i="1" s="1"/>
  <c r="W377" i="1"/>
  <c r="AL377" i="1" s="1"/>
  <c r="X377" i="1"/>
  <c r="AM377" i="1" s="1"/>
  <c r="Y377" i="1"/>
  <c r="AN377" i="1" s="1"/>
  <c r="S378" i="1"/>
  <c r="AH378" i="1" s="1"/>
  <c r="T378" i="1"/>
  <c r="AI378" i="1" s="1"/>
  <c r="U378" i="1"/>
  <c r="AJ378" i="1" s="1"/>
  <c r="V378" i="1"/>
  <c r="AK378" i="1" s="1"/>
  <c r="W378" i="1"/>
  <c r="AL378" i="1" s="1"/>
  <c r="X378" i="1"/>
  <c r="AM378" i="1" s="1"/>
  <c r="Y378" i="1"/>
  <c r="AN378" i="1" s="1"/>
  <c r="S379" i="1"/>
  <c r="AH379" i="1" s="1"/>
  <c r="T379" i="1"/>
  <c r="AI379" i="1" s="1"/>
  <c r="U379" i="1"/>
  <c r="AJ379" i="1" s="1"/>
  <c r="V379" i="1"/>
  <c r="AK379" i="1" s="1"/>
  <c r="W379" i="1"/>
  <c r="AL379" i="1" s="1"/>
  <c r="X379" i="1"/>
  <c r="AM379" i="1" s="1"/>
  <c r="Y379" i="1"/>
  <c r="AN379" i="1" s="1"/>
  <c r="S380" i="1"/>
  <c r="AH380" i="1" s="1"/>
  <c r="T380" i="1"/>
  <c r="AI380" i="1" s="1"/>
  <c r="U380" i="1"/>
  <c r="AJ380" i="1" s="1"/>
  <c r="V380" i="1"/>
  <c r="AK380" i="1" s="1"/>
  <c r="W380" i="1"/>
  <c r="AL380" i="1" s="1"/>
  <c r="X380" i="1"/>
  <c r="AM380" i="1" s="1"/>
  <c r="Y380" i="1"/>
  <c r="AN380" i="1" s="1"/>
  <c r="S381" i="1"/>
  <c r="AH381" i="1" s="1"/>
  <c r="T381" i="1"/>
  <c r="AI381" i="1" s="1"/>
  <c r="U381" i="1"/>
  <c r="AJ381" i="1" s="1"/>
  <c r="V381" i="1"/>
  <c r="AK381" i="1" s="1"/>
  <c r="W381" i="1"/>
  <c r="AL381" i="1" s="1"/>
  <c r="X381" i="1"/>
  <c r="AM381" i="1" s="1"/>
  <c r="Y381" i="1"/>
  <c r="AN381" i="1" s="1"/>
  <c r="S382" i="1"/>
  <c r="AH382" i="1" s="1"/>
  <c r="T382" i="1"/>
  <c r="AI382" i="1" s="1"/>
  <c r="U382" i="1"/>
  <c r="AJ382" i="1" s="1"/>
  <c r="V382" i="1"/>
  <c r="AK382" i="1" s="1"/>
  <c r="W382" i="1"/>
  <c r="AL382" i="1" s="1"/>
  <c r="X382" i="1"/>
  <c r="AM382" i="1" s="1"/>
  <c r="Y382" i="1"/>
  <c r="AN382" i="1" s="1"/>
  <c r="S383" i="1"/>
  <c r="AH383" i="1" s="1"/>
  <c r="T383" i="1"/>
  <c r="AI383" i="1" s="1"/>
  <c r="U383" i="1"/>
  <c r="AJ383" i="1" s="1"/>
  <c r="V383" i="1"/>
  <c r="AK383" i="1" s="1"/>
  <c r="W383" i="1"/>
  <c r="AL383" i="1" s="1"/>
  <c r="X383" i="1"/>
  <c r="AM383" i="1" s="1"/>
  <c r="Y383" i="1"/>
  <c r="AN383" i="1" s="1"/>
  <c r="S384" i="1"/>
  <c r="AH384" i="1" s="1"/>
  <c r="T384" i="1"/>
  <c r="AI384" i="1" s="1"/>
  <c r="U384" i="1"/>
  <c r="AJ384" i="1" s="1"/>
  <c r="V384" i="1"/>
  <c r="AK384" i="1" s="1"/>
  <c r="W384" i="1"/>
  <c r="AL384" i="1" s="1"/>
  <c r="X384" i="1"/>
  <c r="AM384" i="1" s="1"/>
  <c r="Y384" i="1"/>
  <c r="AN384" i="1" s="1"/>
  <c r="S385" i="1"/>
  <c r="AH385" i="1" s="1"/>
  <c r="T385" i="1"/>
  <c r="AI385" i="1" s="1"/>
  <c r="U385" i="1"/>
  <c r="AJ385" i="1" s="1"/>
  <c r="V385" i="1"/>
  <c r="AK385" i="1" s="1"/>
  <c r="W385" i="1"/>
  <c r="AL385" i="1" s="1"/>
  <c r="X385" i="1"/>
  <c r="AM385" i="1" s="1"/>
  <c r="Y385" i="1"/>
  <c r="AN385" i="1" s="1"/>
  <c r="S386" i="1"/>
  <c r="AH386" i="1" s="1"/>
  <c r="T386" i="1"/>
  <c r="AI386" i="1" s="1"/>
  <c r="U386" i="1"/>
  <c r="AJ386" i="1" s="1"/>
  <c r="V386" i="1"/>
  <c r="AK386" i="1" s="1"/>
  <c r="W386" i="1"/>
  <c r="AL386" i="1" s="1"/>
  <c r="X386" i="1"/>
  <c r="AM386" i="1" s="1"/>
  <c r="Y386" i="1"/>
  <c r="AN386" i="1" s="1"/>
  <c r="S387" i="1"/>
  <c r="AH387" i="1" s="1"/>
  <c r="T387" i="1"/>
  <c r="AI387" i="1" s="1"/>
  <c r="U387" i="1"/>
  <c r="AJ387" i="1" s="1"/>
  <c r="V387" i="1"/>
  <c r="AK387" i="1" s="1"/>
  <c r="W387" i="1"/>
  <c r="AL387" i="1" s="1"/>
  <c r="X387" i="1"/>
  <c r="AM387" i="1" s="1"/>
  <c r="Y387" i="1"/>
  <c r="AN387" i="1" s="1"/>
  <c r="S388" i="1"/>
  <c r="AH388" i="1" s="1"/>
  <c r="T388" i="1"/>
  <c r="AI388" i="1" s="1"/>
  <c r="U388" i="1"/>
  <c r="AJ388" i="1" s="1"/>
  <c r="V388" i="1"/>
  <c r="AK388" i="1" s="1"/>
  <c r="W388" i="1"/>
  <c r="AL388" i="1" s="1"/>
  <c r="X388" i="1"/>
  <c r="AM388" i="1" s="1"/>
  <c r="Y388" i="1"/>
  <c r="AN388" i="1" s="1"/>
  <c r="S389" i="1"/>
  <c r="AH389" i="1" s="1"/>
  <c r="T389" i="1"/>
  <c r="AI389" i="1" s="1"/>
  <c r="U389" i="1"/>
  <c r="AJ389" i="1" s="1"/>
  <c r="V389" i="1"/>
  <c r="AK389" i="1" s="1"/>
  <c r="W389" i="1"/>
  <c r="AL389" i="1" s="1"/>
  <c r="X389" i="1"/>
  <c r="AM389" i="1" s="1"/>
  <c r="Y389" i="1"/>
  <c r="AN389" i="1" s="1"/>
  <c r="S390" i="1"/>
  <c r="AH390" i="1" s="1"/>
  <c r="T390" i="1"/>
  <c r="AI390" i="1" s="1"/>
  <c r="U390" i="1"/>
  <c r="AJ390" i="1" s="1"/>
  <c r="V390" i="1"/>
  <c r="AK390" i="1" s="1"/>
  <c r="W390" i="1"/>
  <c r="AL390" i="1" s="1"/>
  <c r="X390" i="1"/>
  <c r="AM390" i="1" s="1"/>
  <c r="Y390" i="1"/>
  <c r="AN390" i="1" s="1"/>
  <c r="S391" i="1"/>
  <c r="AH391" i="1" s="1"/>
  <c r="T391" i="1"/>
  <c r="AI391" i="1" s="1"/>
  <c r="U391" i="1"/>
  <c r="AJ391" i="1" s="1"/>
  <c r="V391" i="1"/>
  <c r="AK391" i="1" s="1"/>
  <c r="W391" i="1"/>
  <c r="AL391" i="1" s="1"/>
  <c r="X391" i="1"/>
  <c r="AM391" i="1" s="1"/>
  <c r="Y391" i="1"/>
  <c r="AN391" i="1" s="1"/>
  <c r="S392" i="1"/>
  <c r="AH392" i="1" s="1"/>
  <c r="T392" i="1"/>
  <c r="AI392" i="1" s="1"/>
  <c r="U392" i="1"/>
  <c r="AJ392" i="1" s="1"/>
  <c r="V392" i="1"/>
  <c r="AK392" i="1" s="1"/>
  <c r="W392" i="1"/>
  <c r="AL392" i="1" s="1"/>
  <c r="X392" i="1"/>
  <c r="AM392" i="1" s="1"/>
  <c r="Y392" i="1"/>
  <c r="AN392" i="1" s="1"/>
  <c r="S393" i="1"/>
  <c r="AH393" i="1" s="1"/>
  <c r="T393" i="1"/>
  <c r="AI393" i="1" s="1"/>
  <c r="U393" i="1"/>
  <c r="AJ393" i="1" s="1"/>
  <c r="V393" i="1"/>
  <c r="AK393" i="1" s="1"/>
  <c r="W393" i="1"/>
  <c r="AL393" i="1" s="1"/>
  <c r="X393" i="1"/>
  <c r="AM393" i="1" s="1"/>
  <c r="Y393" i="1"/>
  <c r="AN393" i="1" s="1"/>
  <c r="S394" i="1"/>
  <c r="AH394" i="1" s="1"/>
  <c r="T394" i="1"/>
  <c r="AI394" i="1" s="1"/>
  <c r="U394" i="1"/>
  <c r="AJ394" i="1" s="1"/>
  <c r="V394" i="1"/>
  <c r="AK394" i="1" s="1"/>
  <c r="W394" i="1"/>
  <c r="AL394" i="1" s="1"/>
  <c r="X394" i="1"/>
  <c r="AM394" i="1" s="1"/>
  <c r="Y394" i="1"/>
  <c r="AN394" i="1" s="1"/>
  <c r="S395" i="1"/>
  <c r="AH395" i="1" s="1"/>
  <c r="T395" i="1"/>
  <c r="AI395" i="1" s="1"/>
  <c r="U395" i="1"/>
  <c r="AJ395" i="1" s="1"/>
  <c r="V395" i="1"/>
  <c r="AK395" i="1" s="1"/>
  <c r="W395" i="1"/>
  <c r="AL395" i="1" s="1"/>
  <c r="X395" i="1"/>
  <c r="AM395" i="1" s="1"/>
  <c r="Y395" i="1"/>
  <c r="AN395" i="1" s="1"/>
  <c r="S396" i="1"/>
  <c r="AH396" i="1" s="1"/>
  <c r="T396" i="1"/>
  <c r="AI396" i="1" s="1"/>
  <c r="U396" i="1"/>
  <c r="AJ396" i="1" s="1"/>
  <c r="V396" i="1"/>
  <c r="AK396" i="1" s="1"/>
  <c r="W396" i="1"/>
  <c r="AL396" i="1" s="1"/>
  <c r="X396" i="1"/>
  <c r="AM396" i="1" s="1"/>
  <c r="Y396" i="1"/>
  <c r="AN396" i="1" s="1"/>
  <c r="S397" i="1"/>
  <c r="AH397" i="1" s="1"/>
  <c r="T397" i="1"/>
  <c r="AI397" i="1" s="1"/>
  <c r="U397" i="1"/>
  <c r="AJ397" i="1" s="1"/>
  <c r="V397" i="1"/>
  <c r="AK397" i="1" s="1"/>
  <c r="W397" i="1"/>
  <c r="AL397" i="1" s="1"/>
  <c r="X397" i="1"/>
  <c r="AM397" i="1" s="1"/>
  <c r="Y397" i="1"/>
  <c r="AN397" i="1" s="1"/>
  <c r="S398" i="1"/>
  <c r="AH398" i="1" s="1"/>
  <c r="T398" i="1"/>
  <c r="AI398" i="1" s="1"/>
  <c r="U398" i="1"/>
  <c r="AJ398" i="1" s="1"/>
  <c r="V398" i="1"/>
  <c r="AK398" i="1" s="1"/>
  <c r="W398" i="1"/>
  <c r="AL398" i="1" s="1"/>
  <c r="X398" i="1"/>
  <c r="AM398" i="1" s="1"/>
  <c r="Y398" i="1"/>
  <c r="AN398" i="1" s="1"/>
  <c r="S399" i="1"/>
  <c r="AH399" i="1" s="1"/>
  <c r="T399" i="1"/>
  <c r="AI399" i="1" s="1"/>
  <c r="U399" i="1"/>
  <c r="AJ399" i="1" s="1"/>
  <c r="V399" i="1"/>
  <c r="AK399" i="1" s="1"/>
  <c r="W399" i="1"/>
  <c r="AL399" i="1" s="1"/>
  <c r="X399" i="1"/>
  <c r="AM399" i="1" s="1"/>
  <c r="Y399" i="1"/>
  <c r="AN399" i="1" s="1"/>
  <c r="S400" i="1"/>
  <c r="AH400" i="1" s="1"/>
  <c r="T400" i="1"/>
  <c r="AI400" i="1" s="1"/>
  <c r="U400" i="1"/>
  <c r="AJ400" i="1" s="1"/>
  <c r="V400" i="1"/>
  <c r="AK400" i="1" s="1"/>
  <c r="W400" i="1"/>
  <c r="AL400" i="1" s="1"/>
  <c r="X400" i="1"/>
  <c r="AM400" i="1" s="1"/>
  <c r="Y400" i="1"/>
  <c r="AN400" i="1" s="1"/>
  <c r="S401" i="1"/>
  <c r="AH401" i="1" s="1"/>
  <c r="T401" i="1"/>
  <c r="AI401" i="1" s="1"/>
  <c r="U401" i="1"/>
  <c r="AJ401" i="1" s="1"/>
  <c r="V401" i="1"/>
  <c r="AK401" i="1" s="1"/>
  <c r="W401" i="1"/>
  <c r="AL401" i="1" s="1"/>
  <c r="X401" i="1"/>
  <c r="AM401" i="1" s="1"/>
  <c r="Y401" i="1"/>
  <c r="AN401" i="1" s="1"/>
  <c r="S402" i="1"/>
  <c r="AH402" i="1" s="1"/>
  <c r="T402" i="1"/>
  <c r="AI402" i="1" s="1"/>
  <c r="U402" i="1"/>
  <c r="AJ402" i="1" s="1"/>
  <c r="V402" i="1"/>
  <c r="AK402" i="1" s="1"/>
  <c r="W402" i="1"/>
  <c r="AL402" i="1" s="1"/>
  <c r="X402" i="1"/>
  <c r="AM402" i="1" s="1"/>
  <c r="Y402" i="1"/>
  <c r="AN402" i="1" s="1"/>
  <c r="S403" i="1"/>
  <c r="AH403" i="1" s="1"/>
  <c r="T403" i="1"/>
  <c r="AI403" i="1" s="1"/>
  <c r="U403" i="1"/>
  <c r="AJ403" i="1" s="1"/>
  <c r="V403" i="1"/>
  <c r="AK403" i="1" s="1"/>
  <c r="W403" i="1"/>
  <c r="AL403" i="1" s="1"/>
  <c r="X403" i="1"/>
  <c r="AM403" i="1" s="1"/>
  <c r="Y403" i="1"/>
  <c r="AN403" i="1" s="1"/>
  <c r="S404" i="1"/>
  <c r="AH404" i="1" s="1"/>
  <c r="T404" i="1"/>
  <c r="AI404" i="1" s="1"/>
  <c r="U404" i="1"/>
  <c r="AJ404" i="1" s="1"/>
  <c r="V404" i="1"/>
  <c r="AK404" i="1" s="1"/>
  <c r="W404" i="1"/>
  <c r="AL404" i="1" s="1"/>
  <c r="X404" i="1"/>
  <c r="AM404" i="1" s="1"/>
  <c r="Y404" i="1"/>
  <c r="AN404" i="1" s="1"/>
  <c r="S405" i="1"/>
  <c r="AH405" i="1" s="1"/>
  <c r="T405" i="1"/>
  <c r="AI405" i="1" s="1"/>
  <c r="U405" i="1"/>
  <c r="AJ405" i="1" s="1"/>
  <c r="V405" i="1"/>
  <c r="AK405" i="1" s="1"/>
  <c r="W405" i="1"/>
  <c r="AL405" i="1" s="1"/>
  <c r="X405" i="1"/>
  <c r="AM405" i="1" s="1"/>
  <c r="Y405" i="1"/>
  <c r="AN405" i="1" s="1"/>
  <c r="S406" i="1"/>
  <c r="AH406" i="1" s="1"/>
  <c r="T406" i="1"/>
  <c r="AI406" i="1" s="1"/>
  <c r="U406" i="1"/>
  <c r="AJ406" i="1" s="1"/>
  <c r="V406" i="1"/>
  <c r="AK406" i="1" s="1"/>
  <c r="W406" i="1"/>
  <c r="AL406" i="1" s="1"/>
  <c r="X406" i="1"/>
  <c r="AM406" i="1" s="1"/>
  <c r="Y406" i="1"/>
  <c r="AN406" i="1" s="1"/>
  <c r="S407" i="1"/>
  <c r="AH407" i="1" s="1"/>
  <c r="T407" i="1"/>
  <c r="AI407" i="1" s="1"/>
  <c r="U407" i="1"/>
  <c r="AJ407" i="1" s="1"/>
  <c r="V407" i="1"/>
  <c r="AK407" i="1" s="1"/>
  <c r="W407" i="1"/>
  <c r="AL407" i="1" s="1"/>
  <c r="X407" i="1"/>
  <c r="AM407" i="1" s="1"/>
  <c r="Y407" i="1"/>
  <c r="AN407" i="1" s="1"/>
  <c r="S408" i="1"/>
  <c r="AH408" i="1" s="1"/>
  <c r="T408" i="1"/>
  <c r="AI408" i="1" s="1"/>
  <c r="U408" i="1"/>
  <c r="AJ408" i="1" s="1"/>
  <c r="V408" i="1"/>
  <c r="AK408" i="1" s="1"/>
  <c r="W408" i="1"/>
  <c r="AL408" i="1" s="1"/>
  <c r="X408" i="1"/>
  <c r="AM408" i="1" s="1"/>
  <c r="Y408" i="1"/>
  <c r="AN408" i="1" s="1"/>
  <c r="S409" i="1"/>
  <c r="AH409" i="1" s="1"/>
  <c r="T409" i="1"/>
  <c r="AI409" i="1" s="1"/>
  <c r="U409" i="1"/>
  <c r="AJ409" i="1" s="1"/>
  <c r="V409" i="1"/>
  <c r="AK409" i="1" s="1"/>
  <c r="W409" i="1"/>
  <c r="AL409" i="1" s="1"/>
  <c r="X409" i="1"/>
  <c r="AM409" i="1" s="1"/>
  <c r="Y409" i="1"/>
  <c r="AN409" i="1" s="1"/>
  <c r="S410" i="1"/>
  <c r="AH410" i="1" s="1"/>
  <c r="T410" i="1"/>
  <c r="AI410" i="1" s="1"/>
  <c r="U410" i="1"/>
  <c r="AJ410" i="1" s="1"/>
  <c r="V410" i="1"/>
  <c r="AK410" i="1" s="1"/>
  <c r="W410" i="1"/>
  <c r="AL410" i="1" s="1"/>
  <c r="X410" i="1"/>
  <c r="AM410" i="1" s="1"/>
  <c r="Y410" i="1"/>
  <c r="AN410" i="1" s="1"/>
  <c r="S411" i="1"/>
  <c r="AH411" i="1" s="1"/>
  <c r="T411" i="1"/>
  <c r="AI411" i="1" s="1"/>
  <c r="U411" i="1"/>
  <c r="AJ411" i="1" s="1"/>
  <c r="V411" i="1"/>
  <c r="AK411" i="1" s="1"/>
  <c r="W411" i="1"/>
  <c r="AL411" i="1" s="1"/>
  <c r="X411" i="1"/>
  <c r="AM411" i="1" s="1"/>
  <c r="Y411" i="1"/>
  <c r="AN411" i="1" s="1"/>
  <c r="S412" i="1"/>
  <c r="AH412" i="1" s="1"/>
  <c r="T412" i="1"/>
  <c r="AI412" i="1" s="1"/>
  <c r="U412" i="1"/>
  <c r="AJ412" i="1" s="1"/>
  <c r="V412" i="1"/>
  <c r="AK412" i="1" s="1"/>
  <c r="W412" i="1"/>
  <c r="AL412" i="1" s="1"/>
  <c r="X412" i="1"/>
  <c r="AM412" i="1" s="1"/>
  <c r="Y412" i="1"/>
  <c r="AN412" i="1" s="1"/>
  <c r="S413" i="1"/>
  <c r="AH413" i="1" s="1"/>
  <c r="T413" i="1"/>
  <c r="AI413" i="1" s="1"/>
  <c r="U413" i="1"/>
  <c r="AJ413" i="1" s="1"/>
  <c r="V413" i="1"/>
  <c r="AK413" i="1" s="1"/>
  <c r="W413" i="1"/>
  <c r="AL413" i="1" s="1"/>
  <c r="X413" i="1"/>
  <c r="AM413" i="1" s="1"/>
  <c r="Y413" i="1"/>
  <c r="AN413" i="1" s="1"/>
  <c r="S414" i="1"/>
  <c r="AH414" i="1" s="1"/>
  <c r="T414" i="1"/>
  <c r="AI414" i="1" s="1"/>
  <c r="U414" i="1"/>
  <c r="AJ414" i="1" s="1"/>
  <c r="V414" i="1"/>
  <c r="AK414" i="1" s="1"/>
  <c r="W414" i="1"/>
  <c r="AL414" i="1" s="1"/>
  <c r="X414" i="1"/>
  <c r="AM414" i="1" s="1"/>
  <c r="Y414" i="1"/>
  <c r="AN414" i="1" s="1"/>
  <c r="S415" i="1"/>
  <c r="AH415" i="1" s="1"/>
  <c r="T415" i="1"/>
  <c r="AI415" i="1" s="1"/>
  <c r="U415" i="1"/>
  <c r="AJ415" i="1" s="1"/>
  <c r="V415" i="1"/>
  <c r="AK415" i="1" s="1"/>
  <c r="W415" i="1"/>
  <c r="AL415" i="1" s="1"/>
  <c r="X415" i="1"/>
  <c r="AM415" i="1" s="1"/>
  <c r="Y415" i="1"/>
  <c r="AN415" i="1" s="1"/>
  <c r="S416" i="1"/>
  <c r="AH416" i="1" s="1"/>
  <c r="T416" i="1"/>
  <c r="AI416" i="1" s="1"/>
  <c r="U416" i="1"/>
  <c r="AJ416" i="1" s="1"/>
  <c r="V416" i="1"/>
  <c r="AK416" i="1" s="1"/>
  <c r="W416" i="1"/>
  <c r="AL416" i="1" s="1"/>
  <c r="X416" i="1"/>
  <c r="AM416" i="1" s="1"/>
  <c r="Y416" i="1"/>
  <c r="AN416" i="1" s="1"/>
  <c r="S417" i="1"/>
  <c r="AH417" i="1" s="1"/>
  <c r="T417" i="1"/>
  <c r="AI417" i="1" s="1"/>
  <c r="U417" i="1"/>
  <c r="AJ417" i="1" s="1"/>
  <c r="V417" i="1"/>
  <c r="AK417" i="1" s="1"/>
  <c r="W417" i="1"/>
  <c r="AL417" i="1" s="1"/>
  <c r="X417" i="1"/>
  <c r="AM417" i="1" s="1"/>
  <c r="Y417" i="1"/>
  <c r="AN417" i="1" s="1"/>
  <c r="S418" i="1"/>
  <c r="AH418" i="1" s="1"/>
  <c r="T418" i="1"/>
  <c r="AI418" i="1" s="1"/>
  <c r="U418" i="1"/>
  <c r="AJ418" i="1" s="1"/>
  <c r="V418" i="1"/>
  <c r="AK418" i="1" s="1"/>
  <c r="W418" i="1"/>
  <c r="AL418" i="1" s="1"/>
  <c r="X418" i="1"/>
  <c r="AM418" i="1" s="1"/>
  <c r="Y418" i="1"/>
  <c r="AN418" i="1" s="1"/>
  <c r="S419" i="1"/>
  <c r="AH419" i="1" s="1"/>
  <c r="T419" i="1"/>
  <c r="AI419" i="1" s="1"/>
  <c r="U419" i="1"/>
  <c r="AJ419" i="1" s="1"/>
  <c r="V419" i="1"/>
  <c r="AK419" i="1" s="1"/>
  <c r="W419" i="1"/>
  <c r="AL419" i="1" s="1"/>
  <c r="X419" i="1"/>
  <c r="AM419" i="1" s="1"/>
  <c r="Y419" i="1"/>
  <c r="AN419" i="1" s="1"/>
  <c r="S420" i="1"/>
  <c r="AH420" i="1" s="1"/>
  <c r="T420" i="1"/>
  <c r="AI420" i="1" s="1"/>
  <c r="U420" i="1"/>
  <c r="AJ420" i="1" s="1"/>
  <c r="V420" i="1"/>
  <c r="AK420" i="1" s="1"/>
  <c r="W420" i="1"/>
  <c r="AL420" i="1" s="1"/>
  <c r="X420" i="1"/>
  <c r="AM420" i="1" s="1"/>
  <c r="Y420" i="1"/>
  <c r="AN420" i="1" s="1"/>
  <c r="S421" i="1"/>
  <c r="AH421" i="1" s="1"/>
  <c r="T421" i="1"/>
  <c r="AI421" i="1" s="1"/>
  <c r="U421" i="1"/>
  <c r="AJ421" i="1" s="1"/>
  <c r="V421" i="1"/>
  <c r="AK421" i="1" s="1"/>
  <c r="W421" i="1"/>
  <c r="AL421" i="1" s="1"/>
  <c r="X421" i="1"/>
  <c r="AM421" i="1" s="1"/>
  <c r="Y421" i="1"/>
  <c r="AN421" i="1" s="1"/>
  <c r="S422" i="1"/>
  <c r="AH422" i="1" s="1"/>
  <c r="T422" i="1"/>
  <c r="AI422" i="1" s="1"/>
  <c r="U422" i="1"/>
  <c r="AJ422" i="1" s="1"/>
  <c r="V422" i="1"/>
  <c r="AK422" i="1" s="1"/>
  <c r="W422" i="1"/>
  <c r="AL422" i="1" s="1"/>
  <c r="X422" i="1"/>
  <c r="AM422" i="1" s="1"/>
  <c r="Y422" i="1"/>
  <c r="AN422" i="1" s="1"/>
  <c r="S423" i="1"/>
  <c r="AH423" i="1" s="1"/>
  <c r="T423" i="1"/>
  <c r="AI423" i="1" s="1"/>
  <c r="U423" i="1"/>
  <c r="AJ423" i="1" s="1"/>
  <c r="V423" i="1"/>
  <c r="AK423" i="1" s="1"/>
  <c r="W423" i="1"/>
  <c r="AL423" i="1" s="1"/>
  <c r="X423" i="1"/>
  <c r="AM423" i="1" s="1"/>
  <c r="Y423" i="1"/>
  <c r="AN423" i="1" s="1"/>
  <c r="S424" i="1"/>
  <c r="AH424" i="1" s="1"/>
  <c r="T424" i="1"/>
  <c r="AI424" i="1" s="1"/>
  <c r="U424" i="1"/>
  <c r="AJ424" i="1" s="1"/>
  <c r="V424" i="1"/>
  <c r="AK424" i="1" s="1"/>
  <c r="W424" i="1"/>
  <c r="AL424" i="1" s="1"/>
  <c r="X424" i="1"/>
  <c r="AM424" i="1" s="1"/>
  <c r="Y424" i="1"/>
  <c r="AN424" i="1" s="1"/>
  <c r="S425" i="1"/>
  <c r="AH425" i="1" s="1"/>
  <c r="T425" i="1"/>
  <c r="AI425" i="1" s="1"/>
  <c r="U425" i="1"/>
  <c r="AJ425" i="1" s="1"/>
  <c r="V425" i="1"/>
  <c r="AK425" i="1" s="1"/>
  <c r="W425" i="1"/>
  <c r="AL425" i="1" s="1"/>
  <c r="X425" i="1"/>
  <c r="AM425" i="1" s="1"/>
  <c r="Y425" i="1"/>
  <c r="AN425" i="1" s="1"/>
  <c r="S426" i="1"/>
  <c r="AH426" i="1" s="1"/>
  <c r="T426" i="1"/>
  <c r="AI426" i="1" s="1"/>
  <c r="U426" i="1"/>
  <c r="AJ426" i="1" s="1"/>
  <c r="V426" i="1"/>
  <c r="AK426" i="1" s="1"/>
  <c r="W426" i="1"/>
  <c r="AL426" i="1" s="1"/>
  <c r="X426" i="1"/>
  <c r="AM426" i="1" s="1"/>
  <c r="Y426" i="1"/>
  <c r="AN426" i="1" s="1"/>
  <c r="S427" i="1"/>
  <c r="AH427" i="1" s="1"/>
  <c r="T427" i="1"/>
  <c r="AI427" i="1" s="1"/>
  <c r="U427" i="1"/>
  <c r="AJ427" i="1" s="1"/>
  <c r="V427" i="1"/>
  <c r="AK427" i="1" s="1"/>
  <c r="W427" i="1"/>
  <c r="AL427" i="1" s="1"/>
  <c r="X427" i="1"/>
  <c r="AM427" i="1" s="1"/>
  <c r="Y427" i="1"/>
  <c r="AN427" i="1" s="1"/>
  <c r="S428" i="1"/>
  <c r="AH428" i="1" s="1"/>
  <c r="T428" i="1"/>
  <c r="AI428" i="1" s="1"/>
  <c r="U428" i="1"/>
  <c r="AJ428" i="1" s="1"/>
  <c r="V428" i="1"/>
  <c r="AK428" i="1" s="1"/>
  <c r="W428" i="1"/>
  <c r="AL428" i="1" s="1"/>
  <c r="X428" i="1"/>
  <c r="AM428" i="1" s="1"/>
  <c r="Y428" i="1"/>
  <c r="AN428" i="1" s="1"/>
  <c r="S429" i="1"/>
  <c r="AH429" i="1" s="1"/>
  <c r="T429" i="1"/>
  <c r="AI429" i="1" s="1"/>
  <c r="U429" i="1"/>
  <c r="AJ429" i="1" s="1"/>
  <c r="V429" i="1"/>
  <c r="AK429" i="1" s="1"/>
  <c r="W429" i="1"/>
  <c r="AL429" i="1" s="1"/>
  <c r="X429" i="1"/>
  <c r="AM429" i="1" s="1"/>
  <c r="Y429" i="1"/>
  <c r="AN429" i="1" s="1"/>
  <c r="S430" i="1"/>
  <c r="AH430" i="1" s="1"/>
  <c r="T430" i="1"/>
  <c r="AI430" i="1" s="1"/>
  <c r="U430" i="1"/>
  <c r="AJ430" i="1" s="1"/>
  <c r="V430" i="1"/>
  <c r="AK430" i="1" s="1"/>
  <c r="W430" i="1"/>
  <c r="AL430" i="1" s="1"/>
  <c r="X430" i="1"/>
  <c r="AM430" i="1" s="1"/>
  <c r="Y430" i="1"/>
  <c r="AN430" i="1" s="1"/>
  <c r="S431" i="1"/>
  <c r="AH431" i="1" s="1"/>
  <c r="T431" i="1"/>
  <c r="AI431" i="1" s="1"/>
  <c r="U431" i="1"/>
  <c r="AJ431" i="1" s="1"/>
  <c r="V431" i="1"/>
  <c r="AK431" i="1" s="1"/>
  <c r="W431" i="1"/>
  <c r="AL431" i="1" s="1"/>
  <c r="X431" i="1"/>
  <c r="AM431" i="1" s="1"/>
  <c r="Y431" i="1"/>
  <c r="AN431" i="1" s="1"/>
  <c r="S432" i="1"/>
  <c r="AH432" i="1" s="1"/>
  <c r="T432" i="1"/>
  <c r="AI432" i="1" s="1"/>
  <c r="U432" i="1"/>
  <c r="AJ432" i="1" s="1"/>
  <c r="V432" i="1"/>
  <c r="AK432" i="1" s="1"/>
  <c r="W432" i="1"/>
  <c r="AL432" i="1" s="1"/>
  <c r="X432" i="1"/>
  <c r="AM432" i="1" s="1"/>
  <c r="Y432" i="1"/>
  <c r="AN432" i="1" s="1"/>
  <c r="S433" i="1"/>
  <c r="AH433" i="1" s="1"/>
  <c r="T433" i="1"/>
  <c r="AI433" i="1" s="1"/>
  <c r="U433" i="1"/>
  <c r="AJ433" i="1" s="1"/>
  <c r="V433" i="1"/>
  <c r="AK433" i="1" s="1"/>
  <c r="W433" i="1"/>
  <c r="AL433" i="1" s="1"/>
  <c r="X433" i="1"/>
  <c r="AM433" i="1" s="1"/>
  <c r="Y433" i="1"/>
  <c r="AN433" i="1" s="1"/>
  <c r="S434" i="1"/>
  <c r="T434" i="1"/>
  <c r="U434" i="1"/>
  <c r="V434" i="1"/>
  <c r="W434" i="1"/>
  <c r="X434" i="1"/>
  <c r="Y434" i="1"/>
  <c r="R4" i="1"/>
  <c r="AG4" i="1" s="1"/>
  <c r="R5" i="1"/>
  <c r="AG5" i="1" s="1"/>
  <c r="R6" i="1"/>
  <c r="AG6" i="1" s="1"/>
  <c r="R7" i="1"/>
  <c r="AG7" i="1" s="1"/>
  <c r="R8" i="1"/>
  <c r="AG8" i="1" s="1"/>
  <c r="R9" i="1"/>
  <c r="AG9" i="1" s="1"/>
  <c r="R10" i="1"/>
  <c r="AG10" i="1" s="1"/>
  <c r="R11" i="1"/>
  <c r="AG11" i="1" s="1"/>
  <c r="R12" i="1"/>
  <c r="AG12" i="1" s="1"/>
  <c r="R13" i="1"/>
  <c r="AG13" i="1" s="1"/>
  <c r="R14" i="1"/>
  <c r="AG14" i="1" s="1"/>
  <c r="R15" i="1"/>
  <c r="AG15" i="1" s="1"/>
  <c r="R16" i="1"/>
  <c r="AG16" i="1" s="1"/>
  <c r="R17" i="1"/>
  <c r="AG17" i="1" s="1"/>
  <c r="R18" i="1"/>
  <c r="AG18" i="1" s="1"/>
  <c r="R19" i="1"/>
  <c r="AG19" i="1" s="1"/>
  <c r="R20" i="1"/>
  <c r="AG20" i="1" s="1"/>
  <c r="R21" i="1"/>
  <c r="AG21" i="1" s="1"/>
  <c r="R22" i="1"/>
  <c r="AG22" i="1" s="1"/>
  <c r="R23" i="1"/>
  <c r="AG23" i="1" s="1"/>
  <c r="R24" i="1"/>
  <c r="AG24" i="1" s="1"/>
  <c r="R25" i="1"/>
  <c r="AG25" i="1" s="1"/>
  <c r="R26" i="1"/>
  <c r="AG26" i="1" s="1"/>
  <c r="R27" i="1"/>
  <c r="AG27" i="1" s="1"/>
  <c r="R28" i="1"/>
  <c r="AG28" i="1" s="1"/>
  <c r="R29" i="1"/>
  <c r="AG29" i="1" s="1"/>
  <c r="R30" i="1"/>
  <c r="AG30" i="1" s="1"/>
  <c r="R31" i="1"/>
  <c r="AG31" i="1" s="1"/>
  <c r="R32" i="1"/>
  <c r="AG32" i="1" s="1"/>
  <c r="R33" i="1"/>
  <c r="AG33" i="1" s="1"/>
  <c r="R34" i="1"/>
  <c r="AG34" i="1" s="1"/>
  <c r="R35" i="1"/>
  <c r="AG35" i="1" s="1"/>
  <c r="R36" i="1"/>
  <c r="AG36" i="1" s="1"/>
  <c r="R37" i="1"/>
  <c r="AG37" i="1" s="1"/>
  <c r="R38" i="1"/>
  <c r="AG38" i="1" s="1"/>
  <c r="R39" i="1"/>
  <c r="AG39" i="1" s="1"/>
  <c r="R40" i="1"/>
  <c r="AG40" i="1" s="1"/>
  <c r="R41" i="1"/>
  <c r="AG41" i="1" s="1"/>
  <c r="R42" i="1"/>
  <c r="AG42" i="1" s="1"/>
  <c r="R43" i="1"/>
  <c r="AG43" i="1" s="1"/>
  <c r="R44" i="1"/>
  <c r="AG44" i="1" s="1"/>
  <c r="R45" i="1"/>
  <c r="AG45" i="1" s="1"/>
  <c r="R46" i="1"/>
  <c r="AG46" i="1" s="1"/>
  <c r="R47" i="1"/>
  <c r="AG47" i="1" s="1"/>
  <c r="R48" i="1"/>
  <c r="AG48" i="1" s="1"/>
  <c r="R49" i="1"/>
  <c r="AG49" i="1" s="1"/>
  <c r="R50" i="1"/>
  <c r="AG50" i="1" s="1"/>
  <c r="R51" i="1"/>
  <c r="AG51" i="1" s="1"/>
  <c r="R52" i="1"/>
  <c r="AG52" i="1" s="1"/>
  <c r="R53" i="1"/>
  <c r="AG53" i="1" s="1"/>
  <c r="R54" i="1"/>
  <c r="AG54" i="1" s="1"/>
  <c r="R55" i="1"/>
  <c r="AG55" i="1" s="1"/>
  <c r="R56" i="1"/>
  <c r="AG56" i="1" s="1"/>
  <c r="R57" i="1"/>
  <c r="AG57" i="1" s="1"/>
  <c r="R58" i="1"/>
  <c r="AG58" i="1" s="1"/>
  <c r="R59" i="1"/>
  <c r="AG59" i="1" s="1"/>
  <c r="R60" i="1"/>
  <c r="AG60" i="1" s="1"/>
  <c r="R61" i="1"/>
  <c r="AG61" i="1" s="1"/>
  <c r="R62" i="1"/>
  <c r="AG62" i="1" s="1"/>
  <c r="R63" i="1"/>
  <c r="AG63" i="1" s="1"/>
  <c r="R64" i="1"/>
  <c r="AG64" i="1" s="1"/>
  <c r="R65" i="1"/>
  <c r="AG65" i="1" s="1"/>
  <c r="R66" i="1"/>
  <c r="AG66" i="1" s="1"/>
  <c r="R67" i="1"/>
  <c r="AG67" i="1" s="1"/>
  <c r="R68" i="1"/>
  <c r="AG68" i="1" s="1"/>
  <c r="R69" i="1"/>
  <c r="AG69" i="1" s="1"/>
  <c r="R70" i="1"/>
  <c r="AG70" i="1" s="1"/>
  <c r="R71" i="1"/>
  <c r="AG71" i="1" s="1"/>
  <c r="R72" i="1"/>
  <c r="AG72" i="1" s="1"/>
  <c r="R73" i="1"/>
  <c r="AG73" i="1" s="1"/>
  <c r="R74" i="1"/>
  <c r="AG74" i="1" s="1"/>
  <c r="R75" i="1"/>
  <c r="AG75" i="1" s="1"/>
  <c r="R76" i="1"/>
  <c r="AG76" i="1" s="1"/>
  <c r="R77" i="1"/>
  <c r="AG77" i="1" s="1"/>
  <c r="R78" i="1"/>
  <c r="AG78" i="1" s="1"/>
  <c r="R79" i="1"/>
  <c r="AG79" i="1" s="1"/>
  <c r="R80" i="1"/>
  <c r="AG80" i="1" s="1"/>
  <c r="R81" i="1"/>
  <c r="AG81" i="1" s="1"/>
  <c r="R82" i="1"/>
  <c r="AG82" i="1" s="1"/>
  <c r="R83" i="1"/>
  <c r="AG83" i="1" s="1"/>
  <c r="R84" i="1"/>
  <c r="AG84" i="1" s="1"/>
  <c r="R85" i="1"/>
  <c r="AG85" i="1" s="1"/>
  <c r="R86" i="1"/>
  <c r="AG86" i="1" s="1"/>
  <c r="R87" i="1"/>
  <c r="AG87" i="1" s="1"/>
  <c r="R88" i="1"/>
  <c r="AG88" i="1" s="1"/>
  <c r="R89" i="1"/>
  <c r="AG89" i="1" s="1"/>
  <c r="R90" i="1"/>
  <c r="AG90" i="1" s="1"/>
  <c r="R91" i="1"/>
  <c r="AG91" i="1" s="1"/>
  <c r="R92" i="1"/>
  <c r="AG92" i="1" s="1"/>
  <c r="R93" i="1"/>
  <c r="AG93" i="1" s="1"/>
  <c r="R94" i="1"/>
  <c r="AG94" i="1" s="1"/>
  <c r="R95" i="1"/>
  <c r="AG95" i="1" s="1"/>
  <c r="R96" i="1"/>
  <c r="AG96" i="1" s="1"/>
  <c r="R97" i="1"/>
  <c r="AG97" i="1" s="1"/>
  <c r="R98" i="1"/>
  <c r="AG98" i="1" s="1"/>
  <c r="R99" i="1"/>
  <c r="AG99" i="1" s="1"/>
  <c r="R100" i="1"/>
  <c r="AG100" i="1" s="1"/>
  <c r="R101" i="1"/>
  <c r="AG101" i="1" s="1"/>
  <c r="R102" i="1"/>
  <c r="AG102" i="1" s="1"/>
  <c r="R103" i="1"/>
  <c r="AG103" i="1" s="1"/>
  <c r="R104" i="1"/>
  <c r="AG104" i="1" s="1"/>
  <c r="R105" i="1"/>
  <c r="AG105" i="1" s="1"/>
  <c r="R106" i="1"/>
  <c r="AG106" i="1" s="1"/>
  <c r="R107" i="1"/>
  <c r="AG107" i="1" s="1"/>
  <c r="R108" i="1"/>
  <c r="AG108" i="1" s="1"/>
  <c r="R109" i="1"/>
  <c r="AG109" i="1" s="1"/>
  <c r="R110" i="1"/>
  <c r="AG110" i="1" s="1"/>
  <c r="R111" i="1"/>
  <c r="AG111" i="1" s="1"/>
  <c r="R112" i="1"/>
  <c r="AG112" i="1" s="1"/>
  <c r="R113" i="1"/>
  <c r="AG113" i="1" s="1"/>
  <c r="R114" i="1"/>
  <c r="AG114" i="1" s="1"/>
  <c r="R115" i="1"/>
  <c r="AG115" i="1" s="1"/>
  <c r="R116" i="1"/>
  <c r="AG116" i="1" s="1"/>
  <c r="R117" i="1"/>
  <c r="AG117" i="1" s="1"/>
  <c r="R118" i="1"/>
  <c r="AG118" i="1" s="1"/>
  <c r="R119" i="1"/>
  <c r="AG119" i="1" s="1"/>
  <c r="R120" i="1"/>
  <c r="AG120" i="1" s="1"/>
  <c r="R121" i="1"/>
  <c r="AG121" i="1" s="1"/>
  <c r="R122" i="1"/>
  <c r="AG122" i="1" s="1"/>
  <c r="R123" i="1"/>
  <c r="AG123" i="1" s="1"/>
  <c r="R124" i="1"/>
  <c r="AG124" i="1" s="1"/>
  <c r="R125" i="1"/>
  <c r="AG125" i="1" s="1"/>
  <c r="R126" i="1"/>
  <c r="AG126" i="1" s="1"/>
  <c r="R127" i="1"/>
  <c r="AG127" i="1" s="1"/>
  <c r="R128" i="1"/>
  <c r="AG128" i="1" s="1"/>
  <c r="R129" i="1"/>
  <c r="AG129" i="1" s="1"/>
  <c r="R130" i="1"/>
  <c r="AG130" i="1" s="1"/>
  <c r="R131" i="1"/>
  <c r="AG131" i="1" s="1"/>
  <c r="R132" i="1"/>
  <c r="AG132" i="1" s="1"/>
  <c r="R133" i="1"/>
  <c r="AG133" i="1" s="1"/>
  <c r="R134" i="1"/>
  <c r="AG134" i="1" s="1"/>
  <c r="R135" i="1"/>
  <c r="AG135" i="1" s="1"/>
  <c r="R136" i="1"/>
  <c r="AG136" i="1" s="1"/>
  <c r="R137" i="1"/>
  <c r="AG137" i="1" s="1"/>
  <c r="R138" i="1"/>
  <c r="AG138" i="1" s="1"/>
  <c r="R139" i="1"/>
  <c r="AG139" i="1" s="1"/>
  <c r="R140" i="1"/>
  <c r="AG140" i="1" s="1"/>
  <c r="R141" i="1"/>
  <c r="AG141" i="1" s="1"/>
  <c r="R142" i="1"/>
  <c r="AG142" i="1" s="1"/>
  <c r="R143" i="1"/>
  <c r="AG143" i="1" s="1"/>
  <c r="R144" i="1"/>
  <c r="AG144" i="1" s="1"/>
  <c r="R145" i="1"/>
  <c r="AG145" i="1" s="1"/>
  <c r="R146" i="1"/>
  <c r="AG146" i="1" s="1"/>
  <c r="R147" i="1"/>
  <c r="AG147" i="1" s="1"/>
  <c r="R148" i="1"/>
  <c r="AG148" i="1" s="1"/>
  <c r="R149" i="1"/>
  <c r="AG149" i="1" s="1"/>
  <c r="R150" i="1"/>
  <c r="AG150" i="1" s="1"/>
  <c r="R151" i="1"/>
  <c r="AG151" i="1" s="1"/>
  <c r="R152" i="1"/>
  <c r="AG152" i="1" s="1"/>
  <c r="R153" i="1"/>
  <c r="AG153" i="1" s="1"/>
  <c r="R154" i="1"/>
  <c r="AG154" i="1" s="1"/>
  <c r="R155" i="1"/>
  <c r="AG155" i="1" s="1"/>
  <c r="R156" i="1"/>
  <c r="AG156" i="1" s="1"/>
  <c r="R157" i="1"/>
  <c r="AG157" i="1" s="1"/>
  <c r="R158" i="1"/>
  <c r="AG158" i="1" s="1"/>
  <c r="R159" i="1"/>
  <c r="AG159" i="1" s="1"/>
  <c r="R160" i="1"/>
  <c r="AG160" i="1" s="1"/>
  <c r="R161" i="1"/>
  <c r="AG161" i="1" s="1"/>
  <c r="R162" i="1"/>
  <c r="AG162" i="1" s="1"/>
  <c r="R163" i="1"/>
  <c r="AG163" i="1" s="1"/>
  <c r="R164" i="1"/>
  <c r="AG164" i="1" s="1"/>
  <c r="R165" i="1"/>
  <c r="AG165" i="1" s="1"/>
  <c r="R166" i="1"/>
  <c r="AG166" i="1" s="1"/>
  <c r="R167" i="1"/>
  <c r="AG167" i="1" s="1"/>
  <c r="R168" i="1"/>
  <c r="AG168" i="1" s="1"/>
  <c r="R169" i="1"/>
  <c r="AG169" i="1" s="1"/>
  <c r="R170" i="1"/>
  <c r="AG170" i="1" s="1"/>
  <c r="R171" i="1"/>
  <c r="AG171" i="1" s="1"/>
  <c r="R172" i="1"/>
  <c r="AG172" i="1" s="1"/>
  <c r="R173" i="1"/>
  <c r="AG173" i="1" s="1"/>
  <c r="R174" i="1"/>
  <c r="AG174" i="1" s="1"/>
  <c r="R175" i="1"/>
  <c r="AG175" i="1" s="1"/>
  <c r="R176" i="1"/>
  <c r="AG176" i="1" s="1"/>
  <c r="R177" i="1"/>
  <c r="AG177" i="1" s="1"/>
  <c r="R178" i="1"/>
  <c r="AG178" i="1" s="1"/>
  <c r="R179" i="1"/>
  <c r="AG179" i="1" s="1"/>
  <c r="R180" i="1"/>
  <c r="AG180" i="1" s="1"/>
  <c r="R181" i="1"/>
  <c r="AG181" i="1" s="1"/>
  <c r="R182" i="1"/>
  <c r="AG182" i="1" s="1"/>
  <c r="R183" i="1"/>
  <c r="AG183" i="1" s="1"/>
  <c r="R184" i="1"/>
  <c r="AG184" i="1" s="1"/>
  <c r="R185" i="1"/>
  <c r="AG185" i="1" s="1"/>
  <c r="R186" i="1"/>
  <c r="AG186" i="1" s="1"/>
  <c r="R187" i="1"/>
  <c r="AG187" i="1" s="1"/>
  <c r="R188" i="1"/>
  <c r="AG188" i="1" s="1"/>
  <c r="R189" i="1"/>
  <c r="AG189" i="1" s="1"/>
  <c r="R190" i="1"/>
  <c r="AG190" i="1" s="1"/>
  <c r="R191" i="1"/>
  <c r="AG191" i="1" s="1"/>
  <c r="R192" i="1"/>
  <c r="AG192" i="1" s="1"/>
  <c r="R193" i="1"/>
  <c r="AG193" i="1" s="1"/>
  <c r="R194" i="1"/>
  <c r="AG194" i="1" s="1"/>
  <c r="R195" i="1"/>
  <c r="AG195" i="1" s="1"/>
  <c r="R196" i="1"/>
  <c r="AG196" i="1" s="1"/>
  <c r="R197" i="1"/>
  <c r="AG197" i="1" s="1"/>
  <c r="R198" i="1"/>
  <c r="AG198" i="1" s="1"/>
  <c r="R199" i="1"/>
  <c r="AG199" i="1" s="1"/>
  <c r="R200" i="1"/>
  <c r="AG200" i="1" s="1"/>
  <c r="R201" i="1"/>
  <c r="AG201" i="1" s="1"/>
  <c r="R202" i="1"/>
  <c r="AG202" i="1" s="1"/>
  <c r="R203" i="1"/>
  <c r="AG203" i="1" s="1"/>
  <c r="R204" i="1"/>
  <c r="AG204" i="1" s="1"/>
  <c r="R205" i="1"/>
  <c r="AG205" i="1" s="1"/>
  <c r="R206" i="1"/>
  <c r="AG206" i="1" s="1"/>
  <c r="R207" i="1"/>
  <c r="AG207" i="1" s="1"/>
  <c r="R208" i="1"/>
  <c r="AG208" i="1" s="1"/>
  <c r="R209" i="1"/>
  <c r="AG209" i="1" s="1"/>
  <c r="R210" i="1"/>
  <c r="AG210" i="1" s="1"/>
  <c r="R211" i="1"/>
  <c r="AG211" i="1" s="1"/>
  <c r="R212" i="1"/>
  <c r="AG212" i="1" s="1"/>
  <c r="R213" i="1"/>
  <c r="AG213" i="1" s="1"/>
  <c r="R214" i="1"/>
  <c r="AG214" i="1" s="1"/>
  <c r="R215" i="1"/>
  <c r="AG215" i="1" s="1"/>
  <c r="R216" i="1"/>
  <c r="AG216" i="1" s="1"/>
  <c r="R217" i="1"/>
  <c r="AG217" i="1" s="1"/>
  <c r="R218" i="1"/>
  <c r="AG218" i="1" s="1"/>
  <c r="R219" i="1"/>
  <c r="AG219" i="1" s="1"/>
  <c r="R220" i="1"/>
  <c r="AG220" i="1" s="1"/>
  <c r="R221" i="1"/>
  <c r="AG221" i="1" s="1"/>
  <c r="R222" i="1"/>
  <c r="AG222" i="1" s="1"/>
  <c r="R223" i="1"/>
  <c r="AG223" i="1" s="1"/>
  <c r="R224" i="1"/>
  <c r="AG224" i="1" s="1"/>
  <c r="R225" i="1"/>
  <c r="AG225" i="1" s="1"/>
  <c r="R226" i="1"/>
  <c r="AG226" i="1" s="1"/>
  <c r="R227" i="1"/>
  <c r="AG227" i="1" s="1"/>
  <c r="R228" i="1"/>
  <c r="AG228" i="1" s="1"/>
  <c r="R229" i="1"/>
  <c r="AG229" i="1" s="1"/>
  <c r="R230" i="1"/>
  <c r="AG230" i="1" s="1"/>
  <c r="Q150" i="1"/>
  <c r="AF150" i="1" s="1"/>
  <c r="Q147" i="1"/>
  <c r="AF147" i="1" s="1"/>
  <c r="Q145" i="1"/>
  <c r="AF145" i="1" s="1"/>
  <c r="Q144" i="1"/>
  <c r="AF144" i="1" s="1"/>
  <c r="Q142" i="1"/>
  <c r="AF142" i="1" s="1"/>
  <c r="Q140" i="1"/>
  <c r="AF140" i="1" s="1"/>
  <c r="Q138" i="1"/>
  <c r="AF138" i="1" s="1"/>
  <c r="Q136" i="1"/>
  <c r="AF136" i="1" s="1"/>
  <c r="Q134" i="1"/>
  <c r="AF134" i="1" s="1"/>
  <c r="Q133" i="1"/>
  <c r="AF133" i="1" s="1"/>
  <c r="Q131" i="1"/>
  <c r="AF131" i="1" s="1"/>
  <c r="Q129" i="1"/>
  <c r="AF129" i="1" s="1"/>
  <c r="Q127" i="1"/>
  <c r="AF127" i="1" s="1"/>
  <c r="Q125" i="1"/>
  <c r="AF125" i="1" s="1"/>
  <c r="Q124" i="1"/>
  <c r="AF124" i="1" s="1"/>
  <c r="Q122" i="1"/>
  <c r="AF122" i="1" s="1"/>
  <c r="Q120" i="1"/>
  <c r="AF120" i="1" s="1"/>
  <c r="Q118" i="1"/>
  <c r="AF118" i="1" s="1"/>
  <c r="Q115" i="1"/>
  <c r="AF115" i="1" s="1"/>
  <c r="Q114" i="1"/>
  <c r="AF114" i="1" s="1"/>
  <c r="Q112" i="1"/>
  <c r="AF112" i="1" s="1"/>
  <c r="Q110" i="1"/>
  <c r="AF110" i="1" s="1"/>
  <c r="Q108" i="1"/>
  <c r="AF108" i="1" s="1"/>
  <c r="Q107" i="1"/>
  <c r="AF107" i="1" s="1"/>
  <c r="Q106" i="1"/>
  <c r="AF106" i="1" s="1"/>
  <c r="Q105" i="1"/>
  <c r="AF105" i="1" s="1"/>
  <c r="Q104" i="1"/>
  <c r="AF104" i="1" s="1"/>
  <c r="Q103" i="1"/>
  <c r="AF103" i="1" s="1"/>
  <c r="Q102" i="1"/>
  <c r="AF102" i="1" s="1"/>
  <c r="Q101" i="1"/>
  <c r="AF101" i="1" s="1"/>
  <c r="Q100" i="1"/>
  <c r="AF100" i="1" s="1"/>
  <c r="Q99" i="1"/>
  <c r="AF99" i="1" s="1"/>
  <c r="Q97" i="1"/>
  <c r="AF97" i="1" s="1"/>
  <c r="Q95" i="1"/>
  <c r="AF95" i="1" s="1"/>
  <c r="Q93" i="1"/>
  <c r="AF93" i="1" s="1"/>
  <c r="Q92" i="1"/>
  <c r="AF92" i="1" s="1"/>
  <c r="Q90" i="1"/>
  <c r="AF90" i="1" s="1"/>
  <c r="Q88" i="1"/>
  <c r="AF88" i="1" s="1"/>
  <c r="Q86" i="1"/>
  <c r="AF86" i="1" s="1"/>
  <c r="Q84" i="1"/>
  <c r="AF84" i="1" s="1"/>
  <c r="Q82" i="1"/>
  <c r="AF82" i="1" s="1"/>
  <c r="Q80" i="1"/>
  <c r="AF80" i="1" s="1"/>
  <c r="Q78" i="1"/>
  <c r="AF78" i="1" s="1"/>
  <c r="Q77" i="1"/>
  <c r="AF77" i="1" s="1"/>
  <c r="Q76" i="1"/>
  <c r="AF76" i="1" s="1"/>
  <c r="Q74" i="1"/>
  <c r="AF74" i="1" s="1"/>
  <c r="Q72" i="1"/>
  <c r="AF72" i="1" s="1"/>
  <c r="Q70" i="1"/>
  <c r="AF70" i="1" s="1"/>
  <c r="Q68" i="1"/>
  <c r="AF68" i="1" s="1"/>
  <c r="Q66" i="1"/>
  <c r="AF66" i="1" s="1"/>
  <c r="Q64" i="1"/>
  <c r="AF64" i="1" s="1"/>
  <c r="Q63" i="1"/>
  <c r="AF63" i="1" s="1"/>
  <c r="Q60" i="1"/>
  <c r="AF60" i="1" s="1"/>
  <c r="Q59" i="1"/>
  <c r="AF59" i="1" s="1"/>
  <c r="Q57" i="1"/>
  <c r="AF57" i="1" s="1"/>
  <c r="Q55" i="1"/>
  <c r="AF55" i="1" s="1"/>
  <c r="Q53" i="1"/>
  <c r="AF53" i="1" s="1"/>
  <c r="Q52" i="1"/>
  <c r="AF52" i="1" s="1"/>
  <c r="Q49" i="1"/>
  <c r="AF49" i="1" s="1"/>
  <c r="Q47" i="1"/>
  <c r="AF47" i="1" s="1"/>
  <c r="Q44" i="1"/>
  <c r="AF44" i="1" s="1"/>
  <c r="Q42" i="1"/>
  <c r="AF42" i="1" s="1"/>
  <c r="Q41" i="1"/>
  <c r="AF41" i="1" s="1"/>
  <c r="Q39" i="1"/>
  <c r="AF39" i="1" s="1"/>
  <c r="Q37" i="1"/>
  <c r="AF37" i="1" s="1"/>
  <c r="Q36" i="1"/>
  <c r="AF36" i="1" s="1"/>
  <c r="Q34" i="1"/>
  <c r="AF34" i="1" s="1"/>
  <c r="Q32" i="1"/>
  <c r="AF32" i="1" s="1"/>
  <c r="Q30" i="1"/>
  <c r="AF30" i="1" s="1"/>
  <c r="Q28" i="1"/>
  <c r="AF28" i="1" s="1"/>
  <c r="Q26" i="1"/>
  <c r="AF26" i="1" s="1"/>
  <c r="Q24" i="1"/>
  <c r="AF24" i="1" s="1"/>
  <c r="Q22" i="1"/>
  <c r="AF22" i="1" s="1"/>
  <c r="Q20" i="1"/>
  <c r="AF20" i="1" s="1"/>
  <c r="Q19" i="1"/>
  <c r="AF19" i="1" s="1"/>
  <c r="Q17" i="1"/>
  <c r="AF17" i="1" s="1"/>
  <c r="Q14" i="1"/>
  <c r="AF14" i="1" s="1"/>
  <c r="Q12" i="1"/>
  <c r="AF12" i="1" s="1"/>
  <c r="Q10" i="1"/>
  <c r="AF10" i="1" s="1"/>
  <c r="Q9" i="1"/>
  <c r="AF9" i="1" s="1"/>
  <c r="Q7" i="1"/>
  <c r="AF7" i="1" s="1"/>
  <c r="Q5" i="1"/>
  <c r="AF5" i="1" s="1"/>
  <c r="Q434" i="1"/>
  <c r="R231" i="1"/>
  <c r="AG231" i="1" s="1"/>
  <c r="R232" i="1"/>
  <c r="AG232" i="1" s="1"/>
  <c r="R233" i="1"/>
  <c r="AG233" i="1" s="1"/>
  <c r="R234" i="1"/>
  <c r="AG234" i="1" s="1"/>
  <c r="R235" i="1"/>
  <c r="AG235" i="1" s="1"/>
  <c r="R236" i="1"/>
  <c r="AG236" i="1" s="1"/>
  <c r="R237" i="1"/>
  <c r="AG237" i="1" s="1"/>
  <c r="R238" i="1"/>
  <c r="AG238" i="1" s="1"/>
  <c r="R239" i="1"/>
  <c r="AG239" i="1" s="1"/>
  <c r="R240" i="1"/>
  <c r="AG240" i="1" s="1"/>
  <c r="R241" i="1"/>
  <c r="AG241" i="1" s="1"/>
  <c r="R242" i="1"/>
  <c r="AG242" i="1" s="1"/>
  <c r="R243" i="1"/>
  <c r="AG243" i="1" s="1"/>
  <c r="R244" i="1"/>
  <c r="AG244" i="1" s="1"/>
  <c r="R245" i="1"/>
  <c r="AG245" i="1" s="1"/>
  <c r="R246" i="1"/>
  <c r="AG246" i="1" s="1"/>
  <c r="R247" i="1"/>
  <c r="AG247" i="1" s="1"/>
  <c r="R248" i="1"/>
  <c r="AG248" i="1" s="1"/>
  <c r="R249" i="1"/>
  <c r="AG249" i="1" s="1"/>
  <c r="R250" i="1"/>
  <c r="AG250" i="1" s="1"/>
  <c r="R251" i="1"/>
  <c r="AG251" i="1" s="1"/>
  <c r="R252" i="1"/>
  <c r="AG252" i="1" s="1"/>
  <c r="R253" i="1"/>
  <c r="AG253" i="1" s="1"/>
  <c r="R254" i="1"/>
  <c r="AG254" i="1" s="1"/>
  <c r="R255" i="1"/>
  <c r="AG255" i="1" s="1"/>
  <c r="R256" i="1"/>
  <c r="AG256" i="1" s="1"/>
  <c r="R257" i="1"/>
  <c r="AG257" i="1" s="1"/>
  <c r="R258" i="1"/>
  <c r="AG258" i="1" s="1"/>
  <c r="R259" i="1"/>
  <c r="AG259" i="1" s="1"/>
  <c r="R260" i="1"/>
  <c r="AG260" i="1" s="1"/>
  <c r="R261" i="1"/>
  <c r="AG261" i="1" s="1"/>
  <c r="R262" i="1"/>
  <c r="AG262" i="1" s="1"/>
  <c r="R263" i="1"/>
  <c r="AG263" i="1" s="1"/>
  <c r="R264" i="1"/>
  <c r="AG264" i="1" s="1"/>
  <c r="R265" i="1"/>
  <c r="AG265" i="1" s="1"/>
  <c r="R266" i="1"/>
  <c r="AG266" i="1" s="1"/>
  <c r="R267" i="1"/>
  <c r="AG267" i="1" s="1"/>
  <c r="R268" i="1"/>
  <c r="AG268" i="1" s="1"/>
  <c r="R269" i="1"/>
  <c r="AG269" i="1" s="1"/>
  <c r="R270" i="1"/>
  <c r="AG270" i="1" s="1"/>
  <c r="R271" i="1"/>
  <c r="AG271" i="1" s="1"/>
  <c r="R272" i="1"/>
  <c r="AG272" i="1" s="1"/>
  <c r="R273" i="1"/>
  <c r="AG273" i="1" s="1"/>
  <c r="R274" i="1"/>
  <c r="AG274" i="1" s="1"/>
  <c r="R275" i="1"/>
  <c r="AG275" i="1" s="1"/>
  <c r="R276" i="1"/>
  <c r="AG276" i="1" s="1"/>
  <c r="R277" i="1"/>
  <c r="AG277" i="1" s="1"/>
  <c r="R278" i="1"/>
  <c r="AG278" i="1" s="1"/>
  <c r="R279" i="1"/>
  <c r="AG279" i="1" s="1"/>
  <c r="R280" i="1"/>
  <c r="AG280" i="1" s="1"/>
  <c r="R281" i="1"/>
  <c r="AG281" i="1" s="1"/>
  <c r="R282" i="1"/>
  <c r="AG282" i="1" s="1"/>
  <c r="R283" i="1"/>
  <c r="AG283" i="1" s="1"/>
  <c r="R284" i="1"/>
  <c r="AG284" i="1" s="1"/>
  <c r="R285" i="1"/>
  <c r="AG285" i="1" s="1"/>
  <c r="R286" i="1"/>
  <c r="AG286" i="1" s="1"/>
  <c r="R287" i="1"/>
  <c r="AG287" i="1" s="1"/>
  <c r="R288" i="1"/>
  <c r="AG288" i="1" s="1"/>
  <c r="R289" i="1"/>
  <c r="AG289" i="1" s="1"/>
  <c r="R290" i="1"/>
  <c r="AG290" i="1" s="1"/>
  <c r="R291" i="1"/>
  <c r="AG291" i="1" s="1"/>
  <c r="R292" i="1"/>
  <c r="AG292" i="1" s="1"/>
  <c r="R293" i="1"/>
  <c r="AG293" i="1" s="1"/>
  <c r="R294" i="1"/>
  <c r="AG294" i="1" s="1"/>
  <c r="R295" i="1"/>
  <c r="AG295" i="1" s="1"/>
  <c r="R296" i="1"/>
  <c r="AG296" i="1" s="1"/>
  <c r="R297" i="1"/>
  <c r="AG297" i="1" s="1"/>
  <c r="R298" i="1"/>
  <c r="AG298" i="1" s="1"/>
  <c r="R299" i="1"/>
  <c r="AG299" i="1" s="1"/>
  <c r="R300" i="1"/>
  <c r="AG300" i="1" s="1"/>
  <c r="R301" i="1"/>
  <c r="AG301" i="1" s="1"/>
  <c r="R302" i="1"/>
  <c r="AG302" i="1" s="1"/>
  <c r="R303" i="1"/>
  <c r="AG303" i="1" s="1"/>
  <c r="R304" i="1"/>
  <c r="AG304" i="1" s="1"/>
  <c r="R305" i="1"/>
  <c r="AG305" i="1" s="1"/>
  <c r="R306" i="1"/>
  <c r="AG306" i="1" s="1"/>
  <c r="R307" i="1"/>
  <c r="AG307" i="1" s="1"/>
  <c r="R308" i="1"/>
  <c r="AG308" i="1" s="1"/>
  <c r="R309" i="1"/>
  <c r="AG309" i="1" s="1"/>
  <c r="R310" i="1"/>
  <c r="AG310" i="1" s="1"/>
  <c r="R311" i="1"/>
  <c r="AG311" i="1" s="1"/>
  <c r="R312" i="1"/>
  <c r="AG312" i="1" s="1"/>
  <c r="R313" i="1"/>
  <c r="AG313" i="1" s="1"/>
  <c r="R314" i="1"/>
  <c r="AG314" i="1" s="1"/>
  <c r="R315" i="1"/>
  <c r="AG315" i="1" s="1"/>
  <c r="R316" i="1"/>
  <c r="AG316" i="1" s="1"/>
  <c r="R317" i="1"/>
  <c r="AG317" i="1" s="1"/>
  <c r="R318" i="1"/>
  <c r="AG318" i="1" s="1"/>
  <c r="R319" i="1"/>
  <c r="AG319" i="1" s="1"/>
  <c r="R320" i="1"/>
  <c r="AG320" i="1" s="1"/>
  <c r="R321" i="1"/>
  <c r="AG321" i="1" s="1"/>
  <c r="R322" i="1"/>
  <c r="AG322" i="1" s="1"/>
  <c r="R323" i="1"/>
  <c r="AG323" i="1" s="1"/>
  <c r="R324" i="1"/>
  <c r="AG324" i="1" s="1"/>
  <c r="R325" i="1"/>
  <c r="AG325" i="1" s="1"/>
  <c r="R326" i="1"/>
  <c r="AG326" i="1" s="1"/>
  <c r="R327" i="1"/>
  <c r="AG327" i="1" s="1"/>
  <c r="R328" i="1"/>
  <c r="AG328" i="1" s="1"/>
  <c r="R329" i="1"/>
  <c r="AG329" i="1" s="1"/>
  <c r="R330" i="1"/>
  <c r="AG330" i="1" s="1"/>
  <c r="R331" i="1"/>
  <c r="AG331" i="1" s="1"/>
  <c r="R332" i="1"/>
  <c r="AG332" i="1" s="1"/>
  <c r="R333" i="1"/>
  <c r="AG333" i="1" s="1"/>
  <c r="R334" i="1"/>
  <c r="AG334" i="1" s="1"/>
  <c r="R335" i="1"/>
  <c r="AG335" i="1" s="1"/>
  <c r="R336" i="1"/>
  <c r="AG336" i="1" s="1"/>
  <c r="R337" i="1"/>
  <c r="AG337" i="1" s="1"/>
  <c r="R338" i="1"/>
  <c r="AG338" i="1" s="1"/>
  <c r="R339" i="1"/>
  <c r="AG339" i="1" s="1"/>
  <c r="R340" i="1"/>
  <c r="AG340" i="1" s="1"/>
  <c r="R341" i="1"/>
  <c r="AG341" i="1" s="1"/>
  <c r="R342" i="1"/>
  <c r="AG342" i="1" s="1"/>
  <c r="R343" i="1"/>
  <c r="AG343" i="1" s="1"/>
  <c r="R344" i="1"/>
  <c r="AG344" i="1" s="1"/>
  <c r="R345" i="1"/>
  <c r="AG345" i="1" s="1"/>
  <c r="R346" i="1"/>
  <c r="AG346" i="1" s="1"/>
  <c r="R347" i="1"/>
  <c r="AG347" i="1" s="1"/>
  <c r="R348" i="1"/>
  <c r="AG348" i="1" s="1"/>
  <c r="R349" i="1"/>
  <c r="AG349" i="1" s="1"/>
  <c r="R350" i="1"/>
  <c r="AG350" i="1" s="1"/>
  <c r="R351" i="1"/>
  <c r="AG351" i="1" s="1"/>
  <c r="R352" i="1"/>
  <c r="AG352" i="1" s="1"/>
  <c r="R353" i="1"/>
  <c r="AG353" i="1" s="1"/>
  <c r="R354" i="1"/>
  <c r="AG354" i="1" s="1"/>
  <c r="R355" i="1"/>
  <c r="AG355" i="1" s="1"/>
  <c r="R356" i="1"/>
  <c r="AG356" i="1" s="1"/>
  <c r="R357" i="1"/>
  <c r="AG357" i="1" s="1"/>
  <c r="R358" i="1"/>
  <c r="AG358" i="1" s="1"/>
  <c r="R359" i="1"/>
  <c r="AG359" i="1" s="1"/>
  <c r="R360" i="1"/>
  <c r="AG360" i="1" s="1"/>
  <c r="R361" i="1"/>
  <c r="AG361" i="1" s="1"/>
  <c r="R362" i="1"/>
  <c r="AG362" i="1" s="1"/>
  <c r="R363" i="1"/>
  <c r="AG363" i="1" s="1"/>
  <c r="R364" i="1"/>
  <c r="AG364" i="1" s="1"/>
  <c r="R365" i="1"/>
  <c r="AG365" i="1" s="1"/>
  <c r="R366" i="1"/>
  <c r="AG366" i="1" s="1"/>
  <c r="R367" i="1"/>
  <c r="AG367" i="1" s="1"/>
  <c r="R368" i="1"/>
  <c r="AG368" i="1" s="1"/>
  <c r="R369" i="1"/>
  <c r="AG369" i="1" s="1"/>
  <c r="R370" i="1"/>
  <c r="AG370" i="1" s="1"/>
  <c r="R371" i="1"/>
  <c r="AG371" i="1" s="1"/>
  <c r="R372" i="1"/>
  <c r="AG372" i="1" s="1"/>
  <c r="R373" i="1"/>
  <c r="AG373" i="1" s="1"/>
  <c r="R374" i="1"/>
  <c r="AG374" i="1" s="1"/>
  <c r="R375" i="1"/>
  <c r="AG375" i="1" s="1"/>
  <c r="R376" i="1"/>
  <c r="AG376" i="1" s="1"/>
  <c r="R377" i="1"/>
  <c r="AG377" i="1" s="1"/>
  <c r="R378" i="1"/>
  <c r="AG378" i="1" s="1"/>
  <c r="R379" i="1"/>
  <c r="AG379" i="1" s="1"/>
  <c r="R380" i="1"/>
  <c r="AG380" i="1" s="1"/>
  <c r="R381" i="1"/>
  <c r="AG381" i="1" s="1"/>
  <c r="R382" i="1"/>
  <c r="AG382" i="1" s="1"/>
  <c r="R383" i="1"/>
  <c r="AG383" i="1" s="1"/>
  <c r="R384" i="1"/>
  <c r="AG384" i="1" s="1"/>
  <c r="R385" i="1"/>
  <c r="AG385" i="1" s="1"/>
  <c r="R386" i="1"/>
  <c r="AG386" i="1" s="1"/>
  <c r="R387" i="1"/>
  <c r="AG387" i="1" s="1"/>
  <c r="R388" i="1"/>
  <c r="AG388" i="1" s="1"/>
  <c r="R389" i="1"/>
  <c r="AG389" i="1" s="1"/>
  <c r="R390" i="1"/>
  <c r="AG390" i="1" s="1"/>
  <c r="R391" i="1"/>
  <c r="AG391" i="1" s="1"/>
  <c r="R392" i="1"/>
  <c r="AG392" i="1" s="1"/>
  <c r="R393" i="1"/>
  <c r="AG393" i="1" s="1"/>
  <c r="R394" i="1"/>
  <c r="AG394" i="1" s="1"/>
  <c r="R395" i="1"/>
  <c r="AG395" i="1" s="1"/>
  <c r="R396" i="1"/>
  <c r="AG396" i="1" s="1"/>
  <c r="R397" i="1"/>
  <c r="AG397" i="1" s="1"/>
  <c r="R398" i="1"/>
  <c r="AG398" i="1" s="1"/>
  <c r="R399" i="1"/>
  <c r="AG399" i="1" s="1"/>
  <c r="R400" i="1"/>
  <c r="AG400" i="1" s="1"/>
  <c r="R401" i="1"/>
  <c r="AG401" i="1" s="1"/>
  <c r="R402" i="1"/>
  <c r="AG402" i="1" s="1"/>
  <c r="R403" i="1"/>
  <c r="AG403" i="1" s="1"/>
  <c r="R404" i="1"/>
  <c r="AG404" i="1" s="1"/>
  <c r="R405" i="1"/>
  <c r="AG405" i="1" s="1"/>
  <c r="R406" i="1"/>
  <c r="AG406" i="1" s="1"/>
  <c r="R407" i="1"/>
  <c r="AG407" i="1" s="1"/>
  <c r="R408" i="1"/>
  <c r="AG408" i="1" s="1"/>
  <c r="R409" i="1"/>
  <c r="AG409" i="1" s="1"/>
  <c r="R410" i="1"/>
  <c r="AG410" i="1" s="1"/>
  <c r="R411" i="1"/>
  <c r="AG411" i="1" s="1"/>
  <c r="R412" i="1"/>
  <c r="AG412" i="1" s="1"/>
  <c r="R413" i="1"/>
  <c r="AG413" i="1" s="1"/>
  <c r="R414" i="1"/>
  <c r="AG414" i="1" s="1"/>
  <c r="R415" i="1"/>
  <c r="AG415" i="1" s="1"/>
  <c r="R416" i="1"/>
  <c r="AG416" i="1" s="1"/>
  <c r="R417" i="1"/>
  <c r="AG417" i="1" s="1"/>
  <c r="R418" i="1"/>
  <c r="AG418" i="1" s="1"/>
  <c r="R419" i="1"/>
  <c r="AG419" i="1" s="1"/>
  <c r="R420" i="1"/>
  <c r="AG420" i="1" s="1"/>
  <c r="R421" i="1"/>
  <c r="AG421" i="1" s="1"/>
  <c r="R422" i="1"/>
  <c r="AG422" i="1" s="1"/>
  <c r="R423" i="1"/>
  <c r="AG423" i="1" s="1"/>
  <c r="R424" i="1"/>
  <c r="AG424" i="1" s="1"/>
  <c r="R425" i="1"/>
  <c r="AG425" i="1" s="1"/>
  <c r="R426" i="1"/>
  <c r="AG426" i="1" s="1"/>
  <c r="R427" i="1"/>
  <c r="AG427" i="1" s="1"/>
  <c r="R428" i="1"/>
  <c r="AG428" i="1" s="1"/>
  <c r="R429" i="1"/>
  <c r="AG429" i="1" s="1"/>
  <c r="R430" i="1"/>
  <c r="AG430" i="1" s="1"/>
  <c r="R431" i="1"/>
  <c r="AG431" i="1" s="1"/>
  <c r="R432" i="1"/>
  <c r="AG432" i="1" s="1"/>
  <c r="R433" i="1"/>
  <c r="AG433" i="1" s="1"/>
  <c r="R434" i="1"/>
  <c r="R3" i="1"/>
  <c r="AG3" i="1" s="1"/>
  <c r="AG434" i="1" s="1"/>
  <c r="AG435" i="1" s="1"/>
  <c r="Q3" i="1"/>
  <c r="AF3" i="1" s="1"/>
  <c r="Q433" i="1"/>
  <c r="AF433" i="1" s="1"/>
  <c r="Q432" i="1"/>
  <c r="AF432" i="1" s="1"/>
  <c r="Q431" i="1"/>
  <c r="AF431" i="1" s="1"/>
  <c r="Q430" i="1"/>
  <c r="AF430" i="1" s="1"/>
  <c r="Q429" i="1"/>
  <c r="AF429" i="1" s="1"/>
  <c r="Q428" i="1"/>
  <c r="AF428" i="1" s="1"/>
  <c r="Q427" i="1"/>
  <c r="AF427" i="1" s="1"/>
  <c r="Q426" i="1"/>
  <c r="AF426" i="1" s="1"/>
  <c r="Q425" i="1"/>
  <c r="AF425" i="1" s="1"/>
  <c r="Q424" i="1"/>
  <c r="AF424" i="1" s="1"/>
  <c r="Q423" i="1"/>
  <c r="AF423" i="1" s="1"/>
  <c r="Q422" i="1"/>
  <c r="AF422" i="1" s="1"/>
  <c r="Q421" i="1"/>
  <c r="AF421" i="1" s="1"/>
  <c r="Q420" i="1"/>
  <c r="AF420" i="1" s="1"/>
  <c r="Q419" i="1"/>
  <c r="AF419" i="1" s="1"/>
  <c r="Q418" i="1"/>
  <c r="AF418" i="1" s="1"/>
  <c r="Q417" i="1"/>
  <c r="AF417" i="1" s="1"/>
  <c r="Q416" i="1"/>
  <c r="AF416" i="1" s="1"/>
  <c r="Q415" i="1"/>
  <c r="AF415" i="1" s="1"/>
  <c r="Q414" i="1"/>
  <c r="AF414" i="1" s="1"/>
  <c r="Q413" i="1"/>
  <c r="AF413" i="1" s="1"/>
  <c r="Q412" i="1"/>
  <c r="AF412" i="1" s="1"/>
  <c r="Q411" i="1"/>
  <c r="AF411" i="1" s="1"/>
  <c r="Q410" i="1"/>
  <c r="AF410" i="1" s="1"/>
  <c r="Q409" i="1"/>
  <c r="AF409" i="1" s="1"/>
  <c r="Q408" i="1"/>
  <c r="AF408" i="1" s="1"/>
  <c r="Q407" i="1"/>
  <c r="AF407" i="1" s="1"/>
  <c r="Q406" i="1"/>
  <c r="AF406" i="1" s="1"/>
  <c r="Q405" i="1"/>
  <c r="AF405" i="1" s="1"/>
  <c r="Q404" i="1"/>
  <c r="AF404" i="1" s="1"/>
  <c r="Q403" i="1"/>
  <c r="AF403" i="1" s="1"/>
  <c r="Q402" i="1"/>
  <c r="AF402" i="1" s="1"/>
  <c r="Q401" i="1"/>
  <c r="AF401" i="1" s="1"/>
  <c r="Q400" i="1"/>
  <c r="AF400" i="1" s="1"/>
  <c r="Q399" i="1"/>
  <c r="AF399" i="1" s="1"/>
  <c r="Q398" i="1"/>
  <c r="AF398" i="1" s="1"/>
  <c r="Q397" i="1"/>
  <c r="AF397" i="1" s="1"/>
  <c r="Q396" i="1"/>
  <c r="AF396" i="1" s="1"/>
  <c r="Q395" i="1"/>
  <c r="AF395" i="1" s="1"/>
  <c r="Q394" i="1"/>
  <c r="AF394" i="1" s="1"/>
  <c r="Q393" i="1"/>
  <c r="AF393" i="1" s="1"/>
  <c r="Q392" i="1"/>
  <c r="AF392" i="1" s="1"/>
  <c r="Q391" i="1"/>
  <c r="AF391" i="1" s="1"/>
  <c r="Q390" i="1"/>
  <c r="AF390" i="1" s="1"/>
  <c r="Q389" i="1"/>
  <c r="AF389" i="1" s="1"/>
  <c r="Q388" i="1"/>
  <c r="AF388" i="1" s="1"/>
  <c r="Q387" i="1"/>
  <c r="AF387" i="1" s="1"/>
  <c r="Q386" i="1"/>
  <c r="AF386" i="1" s="1"/>
  <c r="Q385" i="1"/>
  <c r="AF385" i="1" s="1"/>
  <c r="Q384" i="1"/>
  <c r="AF384" i="1" s="1"/>
  <c r="Q383" i="1"/>
  <c r="AF383" i="1" s="1"/>
  <c r="Q382" i="1"/>
  <c r="AF382" i="1" s="1"/>
  <c r="Q381" i="1"/>
  <c r="AF381" i="1" s="1"/>
  <c r="Q380" i="1"/>
  <c r="AF380" i="1" s="1"/>
  <c r="Q379" i="1"/>
  <c r="AF379" i="1" s="1"/>
  <c r="Q378" i="1"/>
  <c r="AF378" i="1" s="1"/>
  <c r="Q377" i="1"/>
  <c r="AF377" i="1" s="1"/>
  <c r="Q376" i="1"/>
  <c r="AF376" i="1" s="1"/>
  <c r="Q375" i="1"/>
  <c r="AF375" i="1" s="1"/>
  <c r="Q374" i="1"/>
  <c r="AF374" i="1" s="1"/>
  <c r="Q373" i="1"/>
  <c r="AF373" i="1" s="1"/>
  <c r="Q372" i="1"/>
  <c r="AF372" i="1" s="1"/>
  <c r="Q371" i="1"/>
  <c r="AF371" i="1" s="1"/>
  <c r="Q370" i="1"/>
  <c r="AF370" i="1" s="1"/>
  <c r="Q369" i="1"/>
  <c r="AF369" i="1" s="1"/>
  <c r="Q368" i="1"/>
  <c r="AF368" i="1" s="1"/>
  <c r="Q367" i="1"/>
  <c r="AF367" i="1" s="1"/>
  <c r="Q366" i="1"/>
  <c r="AF366" i="1" s="1"/>
  <c r="Q365" i="1"/>
  <c r="AF365" i="1" s="1"/>
  <c r="Q364" i="1"/>
  <c r="AF364" i="1" s="1"/>
  <c r="Q363" i="1"/>
  <c r="AF363" i="1" s="1"/>
  <c r="Q362" i="1"/>
  <c r="AF362" i="1" s="1"/>
  <c r="Q361" i="1"/>
  <c r="AF361" i="1" s="1"/>
  <c r="Q360" i="1"/>
  <c r="AF360" i="1" s="1"/>
  <c r="Q359" i="1"/>
  <c r="AF359" i="1" s="1"/>
  <c r="Q358" i="1"/>
  <c r="AF358" i="1" s="1"/>
  <c r="Q357" i="1"/>
  <c r="AF357" i="1" s="1"/>
  <c r="Q356" i="1"/>
  <c r="AF356" i="1" s="1"/>
  <c r="Q355" i="1"/>
  <c r="AF355" i="1" s="1"/>
  <c r="Q354" i="1"/>
  <c r="AF354" i="1" s="1"/>
  <c r="Q353" i="1"/>
  <c r="AF353" i="1" s="1"/>
  <c r="Q352" i="1"/>
  <c r="AF352" i="1" s="1"/>
  <c r="Q351" i="1"/>
  <c r="AF351" i="1" s="1"/>
  <c r="Q350" i="1"/>
  <c r="AF350" i="1" s="1"/>
  <c r="Q349" i="1"/>
  <c r="AF349" i="1" s="1"/>
  <c r="Q348" i="1"/>
  <c r="AF348" i="1" s="1"/>
  <c r="Q347" i="1"/>
  <c r="AF347" i="1" s="1"/>
  <c r="Q346" i="1"/>
  <c r="AF346" i="1" s="1"/>
  <c r="Q345" i="1"/>
  <c r="AF345" i="1" s="1"/>
  <c r="Q344" i="1"/>
  <c r="AF344" i="1" s="1"/>
  <c r="Q343" i="1"/>
  <c r="AF343" i="1" s="1"/>
  <c r="Q342" i="1"/>
  <c r="AF342" i="1" s="1"/>
  <c r="Q341" i="1"/>
  <c r="AF341" i="1" s="1"/>
  <c r="Q340" i="1"/>
  <c r="AF340" i="1" s="1"/>
  <c r="Q339" i="1"/>
  <c r="AF339" i="1" s="1"/>
  <c r="Q338" i="1"/>
  <c r="AF338" i="1" s="1"/>
  <c r="Q337" i="1"/>
  <c r="AF337" i="1" s="1"/>
  <c r="Q336" i="1"/>
  <c r="AF336" i="1" s="1"/>
  <c r="Q335" i="1"/>
  <c r="AF335" i="1" s="1"/>
  <c r="Q334" i="1"/>
  <c r="AF334" i="1" s="1"/>
  <c r="Q333" i="1"/>
  <c r="AF333" i="1" s="1"/>
  <c r="Q332" i="1"/>
  <c r="AF332" i="1" s="1"/>
  <c r="Q331" i="1"/>
  <c r="AF331" i="1" s="1"/>
  <c r="Q330" i="1"/>
  <c r="AF330" i="1" s="1"/>
  <c r="Q329" i="1"/>
  <c r="AF329" i="1" s="1"/>
  <c r="Q328" i="1"/>
  <c r="AF328" i="1" s="1"/>
  <c r="Q327" i="1"/>
  <c r="AF327" i="1" s="1"/>
  <c r="Q326" i="1"/>
  <c r="AF326" i="1" s="1"/>
  <c r="Q325" i="1"/>
  <c r="AF325" i="1" s="1"/>
  <c r="Q324" i="1"/>
  <c r="AF324" i="1" s="1"/>
  <c r="Q323" i="1"/>
  <c r="AF323" i="1" s="1"/>
  <c r="Q322" i="1"/>
  <c r="AF322" i="1" s="1"/>
  <c r="Q321" i="1"/>
  <c r="AF321" i="1" s="1"/>
  <c r="Q320" i="1"/>
  <c r="AF320" i="1" s="1"/>
  <c r="Q319" i="1"/>
  <c r="AF319" i="1" s="1"/>
  <c r="Q318" i="1"/>
  <c r="AF318" i="1" s="1"/>
  <c r="Q317" i="1"/>
  <c r="AF317" i="1" s="1"/>
  <c r="Q316" i="1"/>
  <c r="AF316" i="1" s="1"/>
  <c r="Q315" i="1"/>
  <c r="AF315" i="1" s="1"/>
  <c r="Q314" i="1"/>
  <c r="AF314" i="1" s="1"/>
  <c r="Q313" i="1"/>
  <c r="AF313" i="1" s="1"/>
  <c r="Q312" i="1"/>
  <c r="AF312" i="1" s="1"/>
  <c r="Q311" i="1"/>
  <c r="AF311" i="1" s="1"/>
  <c r="Q310" i="1"/>
  <c r="AF310" i="1" s="1"/>
  <c r="Q309" i="1"/>
  <c r="AF309" i="1" s="1"/>
  <c r="Q308" i="1"/>
  <c r="AF308" i="1" s="1"/>
  <c r="Q307" i="1"/>
  <c r="AF307" i="1" s="1"/>
  <c r="Q306" i="1"/>
  <c r="AF306" i="1" s="1"/>
  <c r="Q305" i="1"/>
  <c r="AF305" i="1" s="1"/>
  <c r="Q304" i="1"/>
  <c r="AF304" i="1" s="1"/>
  <c r="Q303" i="1"/>
  <c r="AF303" i="1" s="1"/>
  <c r="Q302" i="1"/>
  <c r="AF302" i="1" s="1"/>
  <c r="Q301" i="1"/>
  <c r="AF301" i="1" s="1"/>
  <c r="Q300" i="1"/>
  <c r="AF300" i="1" s="1"/>
  <c r="Q299" i="1"/>
  <c r="AF299" i="1" s="1"/>
  <c r="Q298" i="1"/>
  <c r="AF298" i="1" s="1"/>
  <c r="Q297" i="1"/>
  <c r="AF297" i="1" s="1"/>
  <c r="Q296" i="1"/>
  <c r="AF296" i="1" s="1"/>
  <c r="Q295" i="1"/>
  <c r="AF295" i="1" s="1"/>
  <c r="Q294" i="1"/>
  <c r="AF294" i="1" s="1"/>
  <c r="Q293" i="1"/>
  <c r="AF293" i="1" s="1"/>
  <c r="Q292" i="1"/>
  <c r="AF292" i="1" s="1"/>
  <c r="Q291" i="1"/>
  <c r="AF291" i="1" s="1"/>
  <c r="Q290" i="1"/>
  <c r="AF290" i="1" s="1"/>
  <c r="Q289" i="1"/>
  <c r="AF289" i="1" s="1"/>
  <c r="Q288" i="1"/>
  <c r="AF288" i="1" s="1"/>
  <c r="Q287" i="1"/>
  <c r="AF287" i="1" s="1"/>
  <c r="Q286" i="1"/>
  <c r="AF286" i="1" s="1"/>
  <c r="Q285" i="1"/>
  <c r="AF285" i="1" s="1"/>
  <c r="Q284" i="1"/>
  <c r="AF284" i="1" s="1"/>
  <c r="Q283" i="1"/>
  <c r="AF283" i="1" s="1"/>
  <c r="Q282" i="1"/>
  <c r="AF282" i="1" s="1"/>
  <c r="Q281" i="1"/>
  <c r="AF281" i="1" s="1"/>
  <c r="Q280" i="1"/>
  <c r="AF280" i="1" s="1"/>
  <c r="Q279" i="1"/>
  <c r="AF279" i="1" s="1"/>
  <c r="Q278" i="1"/>
  <c r="AF278" i="1" s="1"/>
  <c r="Q277" i="1"/>
  <c r="AF277" i="1" s="1"/>
  <c r="Q276" i="1"/>
  <c r="AF276" i="1" s="1"/>
  <c r="Q275" i="1"/>
  <c r="AF275" i="1" s="1"/>
  <c r="Q274" i="1"/>
  <c r="AF274" i="1" s="1"/>
  <c r="Q273" i="1"/>
  <c r="AF273" i="1" s="1"/>
  <c r="Q272" i="1"/>
  <c r="AF272" i="1" s="1"/>
  <c r="Q271" i="1"/>
  <c r="AF271" i="1" s="1"/>
  <c r="Q270" i="1"/>
  <c r="AF270" i="1" s="1"/>
  <c r="Q269" i="1"/>
  <c r="AF269" i="1" s="1"/>
  <c r="Q268" i="1"/>
  <c r="AF268" i="1" s="1"/>
  <c r="Q267" i="1"/>
  <c r="AF267" i="1" s="1"/>
  <c r="Q266" i="1"/>
  <c r="AF266" i="1" s="1"/>
  <c r="Q265" i="1"/>
  <c r="AF265" i="1" s="1"/>
  <c r="Q264" i="1"/>
  <c r="AF264" i="1" s="1"/>
  <c r="Q263" i="1"/>
  <c r="AF263" i="1" s="1"/>
  <c r="Q262" i="1"/>
  <c r="AF262" i="1" s="1"/>
  <c r="Q261" i="1"/>
  <c r="AF261" i="1" s="1"/>
  <c r="Q260" i="1"/>
  <c r="AF260" i="1" s="1"/>
  <c r="Q259" i="1"/>
  <c r="AF259" i="1" s="1"/>
  <c r="Q258" i="1"/>
  <c r="AF258" i="1" s="1"/>
  <c r="Q257" i="1"/>
  <c r="AF257" i="1" s="1"/>
  <c r="Q256" i="1"/>
  <c r="AF256" i="1" s="1"/>
  <c r="Q255" i="1"/>
  <c r="AF255" i="1" s="1"/>
  <c r="Q254" i="1"/>
  <c r="AF254" i="1" s="1"/>
  <c r="Q253" i="1"/>
  <c r="AF253" i="1" s="1"/>
  <c r="Q252" i="1"/>
  <c r="AF252" i="1" s="1"/>
  <c r="Q251" i="1"/>
  <c r="AF251" i="1" s="1"/>
  <c r="Q250" i="1"/>
  <c r="AF250" i="1" s="1"/>
  <c r="Q249" i="1"/>
  <c r="AF249" i="1" s="1"/>
  <c r="Q248" i="1"/>
  <c r="AF248" i="1" s="1"/>
  <c r="Q247" i="1"/>
  <c r="AF247" i="1" s="1"/>
  <c r="Q246" i="1"/>
  <c r="AF246" i="1" s="1"/>
  <c r="Q245" i="1"/>
  <c r="AF245" i="1" s="1"/>
  <c r="Q244" i="1"/>
  <c r="AF244" i="1" s="1"/>
  <c r="Q243" i="1"/>
  <c r="AF243" i="1" s="1"/>
  <c r="Q242" i="1"/>
  <c r="AF242" i="1" s="1"/>
  <c r="Q241" i="1"/>
  <c r="AF241" i="1" s="1"/>
  <c r="Q240" i="1"/>
  <c r="AF240" i="1" s="1"/>
  <c r="Q239" i="1"/>
  <c r="AF239" i="1" s="1"/>
  <c r="Q238" i="1"/>
  <c r="AF238" i="1" s="1"/>
  <c r="Q237" i="1"/>
  <c r="AF237" i="1" s="1"/>
  <c r="Q236" i="1"/>
  <c r="AF236" i="1" s="1"/>
  <c r="Q235" i="1"/>
  <c r="AF235" i="1" s="1"/>
  <c r="Q234" i="1"/>
  <c r="AF234" i="1" s="1"/>
  <c r="Q233" i="1"/>
  <c r="AF233" i="1" s="1"/>
  <c r="Q232" i="1"/>
  <c r="AF232" i="1" s="1"/>
  <c r="Q231" i="1"/>
  <c r="AF231" i="1" s="1"/>
  <c r="Q230" i="1"/>
  <c r="AF230" i="1" s="1"/>
  <c r="Q229" i="1"/>
  <c r="AF229" i="1" s="1"/>
  <c r="Q228" i="1"/>
  <c r="AF228" i="1" s="1"/>
  <c r="Q227" i="1"/>
  <c r="AF227" i="1" s="1"/>
  <c r="Q226" i="1"/>
  <c r="AF226" i="1" s="1"/>
  <c r="Q225" i="1"/>
  <c r="AF225" i="1" s="1"/>
  <c r="Q224" i="1"/>
  <c r="AF224" i="1" s="1"/>
  <c r="Q223" i="1"/>
  <c r="AF223" i="1" s="1"/>
  <c r="Q222" i="1"/>
  <c r="AF222" i="1" s="1"/>
  <c r="Q221" i="1"/>
  <c r="AF221" i="1" s="1"/>
  <c r="Q220" i="1"/>
  <c r="AF220" i="1" s="1"/>
  <c r="Q219" i="1"/>
  <c r="AF219" i="1" s="1"/>
  <c r="Q218" i="1"/>
  <c r="AF218" i="1" s="1"/>
  <c r="Q217" i="1"/>
  <c r="AF217" i="1" s="1"/>
  <c r="Q216" i="1"/>
  <c r="AF216" i="1" s="1"/>
  <c r="Q215" i="1"/>
  <c r="AF215" i="1" s="1"/>
  <c r="Q214" i="1"/>
  <c r="AF214" i="1" s="1"/>
  <c r="Q213" i="1"/>
  <c r="AF213" i="1" s="1"/>
  <c r="Q212" i="1"/>
  <c r="AF212" i="1" s="1"/>
  <c r="Q211" i="1"/>
  <c r="AF211" i="1" s="1"/>
  <c r="Q210" i="1"/>
  <c r="AF210" i="1" s="1"/>
  <c r="Q209" i="1"/>
  <c r="AF209" i="1" s="1"/>
  <c r="Q208" i="1"/>
  <c r="AF208" i="1" s="1"/>
  <c r="Q207" i="1"/>
  <c r="AF207" i="1" s="1"/>
  <c r="Q206" i="1"/>
  <c r="AF206" i="1" s="1"/>
  <c r="Q205" i="1"/>
  <c r="AF205" i="1" s="1"/>
  <c r="Q204" i="1"/>
  <c r="AF204" i="1" s="1"/>
  <c r="Q203" i="1"/>
  <c r="AF203" i="1" s="1"/>
  <c r="Q202" i="1"/>
  <c r="AF202" i="1" s="1"/>
  <c r="Q201" i="1"/>
  <c r="AF201" i="1" s="1"/>
  <c r="Q200" i="1"/>
  <c r="AF200" i="1" s="1"/>
  <c r="Q199" i="1"/>
  <c r="AF199" i="1" s="1"/>
  <c r="Q198" i="1"/>
  <c r="AF198" i="1" s="1"/>
  <c r="Q197" i="1"/>
  <c r="AF197" i="1" s="1"/>
  <c r="Q196" i="1"/>
  <c r="AF196" i="1" s="1"/>
  <c r="Q195" i="1"/>
  <c r="AF195" i="1" s="1"/>
  <c r="Q194" i="1"/>
  <c r="AF194" i="1" s="1"/>
  <c r="Q193" i="1"/>
  <c r="AF193" i="1" s="1"/>
  <c r="Q192" i="1"/>
  <c r="AF192" i="1" s="1"/>
  <c r="Q191" i="1"/>
  <c r="AF191" i="1" s="1"/>
  <c r="Q190" i="1"/>
  <c r="AF190" i="1" s="1"/>
  <c r="Q189" i="1"/>
  <c r="AF189" i="1" s="1"/>
  <c r="Q188" i="1"/>
  <c r="AF188" i="1" s="1"/>
  <c r="Q187" i="1"/>
  <c r="AF187" i="1" s="1"/>
  <c r="Q186" i="1"/>
  <c r="AF186" i="1" s="1"/>
  <c r="Q185" i="1"/>
  <c r="AF185" i="1" s="1"/>
  <c r="Q184" i="1"/>
  <c r="AF184" i="1" s="1"/>
  <c r="Q183" i="1"/>
  <c r="AF183" i="1" s="1"/>
  <c r="Q182" i="1"/>
  <c r="AF182" i="1" s="1"/>
  <c r="Q181" i="1"/>
  <c r="AF181" i="1" s="1"/>
  <c r="Q180" i="1"/>
  <c r="AF180" i="1" s="1"/>
  <c r="Q179" i="1"/>
  <c r="AF179" i="1" s="1"/>
  <c r="Q178" i="1"/>
  <c r="AF178" i="1" s="1"/>
  <c r="Q177" i="1"/>
  <c r="AF177" i="1" s="1"/>
  <c r="Q176" i="1"/>
  <c r="AF176" i="1" s="1"/>
  <c r="Q175" i="1"/>
  <c r="AF175" i="1" s="1"/>
  <c r="Q174" i="1"/>
  <c r="AF174" i="1" s="1"/>
  <c r="Q173" i="1"/>
  <c r="AF173" i="1" s="1"/>
  <c r="Q172" i="1"/>
  <c r="AF172" i="1" s="1"/>
  <c r="Q171" i="1"/>
  <c r="AF171" i="1" s="1"/>
  <c r="Q170" i="1"/>
  <c r="AF170" i="1" s="1"/>
  <c r="Q169" i="1"/>
  <c r="AF169" i="1" s="1"/>
  <c r="Q168" i="1"/>
  <c r="AF168" i="1" s="1"/>
  <c r="Q167" i="1"/>
  <c r="AF167" i="1" s="1"/>
  <c r="Q166" i="1"/>
  <c r="AF166" i="1" s="1"/>
  <c r="Q165" i="1"/>
  <c r="AF165" i="1" s="1"/>
  <c r="Q164" i="1"/>
  <c r="AF164" i="1" s="1"/>
  <c r="Q163" i="1"/>
  <c r="AF163" i="1" s="1"/>
  <c r="Q162" i="1"/>
  <c r="AF162" i="1" s="1"/>
  <c r="Q161" i="1"/>
  <c r="AF161" i="1" s="1"/>
  <c r="Q160" i="1"/>
  <c r="AF160" i="1" s="1"/>
  <c r="Q159" i="1"/>
  <c r="AF159" i="1" s="1"/>
  <c r="Q158" i="1"/>
  <c r="AF158" i="1" s="1"/>
  <c r="Q157" i="1"/>
  <c r="AF157" i="1" s="1"/>
  <c r="Q156" i="1"/>
  <c r="AF156" i="1" s="1"/>
  <c r="Q155" i="1"/>
  <c r="AF155" i="1" s="1"/>
  <c r="Q154" i="1"/>
  <c r="AF154" i="1" s="1"/>
  <c r="Q153" i="1"/>
  <c r="AF153" i="1" s="1"/>
  <c r="Q152" i="1"/>
  <c r="AF152" i="1" s="1"/>
  <c r="Q151" i="1"/>
  <c r="AF151" i="1" s="1"/>
  <c r="Q149" i="1"/>
  <c r="AF149" i="1" s="1"/>
  <c r="Q148" i="1"/>
  <c r="AF148" i="1" s="1"/>
  <c r="Q146" i="1"/>
  <c r="AF146" i="1" s="1"/>
  <c r="Q143" i="1"/>
  <c r="AF143" i="1" s="1"/>
  <c r="Q141" i="1"/>
  <c r="AF141" i="1" s="1"/>
  <c r="Q139" i="1"/>
  <c r="AF139" i="1" s="1"/>
  <c r="Q137" i="1"/>
  <c r="AF137" i="1" s="1"/>
  <c r="Q135" i="1"/>
  <c r="AF135" i="1" s="1"/>
  <c r="Q132" i="1"/>
  <c r="AF132" i="1" s="1"/>
  <c r="Q130" i="1"/>
  <c r="AF130" i="1" s="1"/>
  <c r="Q128" i="1"/>
  <c r="AF128" i="1" s="1"/>
  <c r="Q126" i="1"/>
  <c r="AF126" i="1" s="1"/>
  <c r="Q123" i="1"/>
  <c r="AF123" i="1" s="1"/>
  <c r="Q121" i="1"/>
  <c r="AF121" i="1" s="1"/>
  <c r="Q119" i="1"/>
  <c r="AF119" i="1" s="1"/>
  <c r="Q117" i="1"/>
  <c r="AF117" i="1" s="1"/>
  <c r="Q116" i="1"/>
  <c r="AF116" i="1" s="1"/>
  <c r="Q113" i="1"/>
  <c r="AF113" i="1" s="1"/>
  <c r="Q111" i="1"/>
  <c r="AF111" i="1" s="1"/>
  <c r="Q109" i="1"/>
  <c r="AF109" i="1" s="1"/>
  <c r="Q98" i="1"/>
  <c r="AF98" i="1" s="1"/>
  <c r="Q96" i="1"/>
  <c r="AF96" i="1" s="1"/>
  <c r="Q94" i="1"/>
  <c r="AF94" i="1" s="1"/>
  <c r="Q91" i="1"/>
  <c r="AF91" i="1" s="1"/>
  <c r="Q89" i="1"/>
  <c r="AF89" i="1" s="1"/>
  <c r="Q87" i="1"/>
  <c r="AF87" i="1" s="1"/>
  <c r="Q85" i="1"/>
  <c r="AF85" i="1" s="1"/>
  <c r="Q83" i="1"/>
  <c r="AF83" i="1" s="1"/>
  <c r="Q81" i="1"/>
  <c r="AF81" i="1" s="1"/>
  <c r="Q79" i="1"/>
  <c r="AF79" i="1" s="1"/>
  <c r="Q75" i="1"/>
  <c r="AF75" i="1" s="1"/>
  <c r="Q73" i="1"/>
  <c r="AF73" i="1" s="1"/>
  <c r="Q71" i="1"/>
  <c r="AF71" i="1" s="1"/>
  <c r="Q69" i="1"/>
  <c r="AF69" i="1" s="1"/>
  <c r="Q67" i="1"/>
  <c r="AF67" i="1" s="1"/>
  <c r="Q65" i="1"/>
  <c r="AF65" i="1" s="1"/>
  <c r="Q62" i="1"/>
  <c r="AF62" i="1" s="1"/>
  <c r="Q61" i="1"/>
  <c r="AF61" i="1" s="1"/>
  <c r="Q58" i="1"/>
  <c r="AF58" i="1" s="1"/>
  <c r="Q56" i="1"/>
  <c r="AF56" i="1" s="1"/>
  <c r="Q54" i="1"/>
  <c r="AF54" i="1" s="1"/>
  <c r="Q51" i="1"/>
  <c r="AF51" i="1" s="1"/>
  <c r="Q50" i="1"/>
  <c r="AF50" i="1" s="1"/>
  <c r="Q48" i="1"/>
  <c r="AF48" i="1" s="1"/>
  <c r="Q46" i="1"/>
  <c r="AF46" i="1" s="1"/>
  <c r="Q45" i="1"/>
  <c r="AF45" i="1" s="1"/>
  <c r="Q43" i="1"/>
  <c r="AF43" i="1" s="1"/>
  <c r="Q40" i="1"/>
  <c r="AF40" i="1" s="1"/>
  <c r="Q38" i="1"/>
  <c r="AF38" i="1" s="1"/>
  <c r="Q35" i="1"/>
  <c r="AF35" i="1" s="1"/>
  <c r="Q33" i="1"/>
  <c r="AF33" i="1" s="1"/>
  <c r="Q31" i="1"/>
  <c r="AF31" i="1" s="1"/>
  <c r="Q29" i="1"/>
  <c r="AF29" i="1" s="1"/>
  <c r="Q27" i="1"/>
  <c r="AF27" i="1" s="1"/>
  <c r="Q25" i="1"/>
  <c r="AF25" i="1" s="1"/>
  <c r="Q23" i="1"/>
  <c r="AF23" i="1" s="1"/>
  <c r="Q21" i="1"/>
  <c r="AF21" i="1" s="1"/>
  <c r="Q18" i="1"/>
  <c r="AF18" i="1" s="1"/>
  <c r="Q16" i="1"/>
  <c r="AF16" i="1" s="1"/>
  <c r="Q15" i="1"/>
  <c r="AF15" i="1" s="1"/>
  <c r="Q13" i="1"/>
  <c r="AF13" i="1" s="1"/>
  <c r="Q11" i="1"/>
  <c r="AF11" i="1" s="1"/>
  <c r="Q8" i="1"/>
  <c r="AF8" i="1" s="1"/>
  <c r="Q6" i="1"/>
  <c r="AF6" i="1" s="1"/>
  <c r="Q4" i="1"/>
  <c r="AF4" i="1" s="1"/>
  <c r="AO434" i="1" l="1"/>
  <c r="AO435" i="1" s="1"/>
  <c r="AP434" i="1"/>
  <c r="AP435" i="1" s="1"/>
  <c r="AQ434" i="1"/>
  <c r="AQ435" i="1" s="1"/>
  <c r="AR434" i="1"/>
  <c r="AR435" i="1" s="1"/>
  <c r="AH434" i="1"/>
  <c r="AH435" i="1" s="1"/>
  <c r="AI434" i="1"/>
  <c r="AI435" i="1" s="1"/>
  <c r="AJ434" i="1"/>
  <c r="AJ435" i="1" s="1"/>
  <c r="AK434" i="1"/>
  <c r="AK435" i="1" s="1"/>
  <c r="AL434" i="1"/>
  <c r="AL435" i="1" s="1"/>
  <c r="AM434" i="1"/>
  <c r="AM435" i="1" s="1"/>
  <c r="AN434" i="1"/>
  <c r="AN435" i="1" s="1"/>
  <c r="AF434" i="1"/>
  <c r="AF435" i="1" s="1"/>
</calcChain>
</file>

<file path=xl/sharedStrings.xml><?xml version="1.0" encoding="utf-8"?>
<sst xmlns="http://schemas.openxmlformats.org/spreadsheetml/2006/main" count="922" uniqueCount="858">
  <si>
    <t>CLIENT</t>
  </si>
  <si>
    <t>N CLIENT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</si>
  <si>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</si>
  <si>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</si>
  <si>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</si>
  <si>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</si>
  <si>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</si>
  <si>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</si>
  <si>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</si>
  <si>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</si>
  <si>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</si>
  <si>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</si>
  <si>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</si>
  <si>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</si>
  <si>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</si>
  <si>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MDPV - PREPACAR</t>
  </si>
  <si>
    <t>3000</t>
  </si>
  <si>
    <t>MARY AUTOMOBILES DEAUVILLE</t>
  </si>
  <si>
    <t>5002</t>
  </si>
  <si>
    <t>MARY AUTOMOBILES ST DESIR</t>
  </si>
  <si>
    <t>5004</t>
  </si>
  <si>
    <t>MARY AUTOMOBILES COMMERCES ET</t>
  </si>
  <si>
    <t>5010</t>
  </si>
  <si>
    <t>JFC By Mary Automobiles - CAEN</t>
  </si>
  <si>
    <t>3290</t>
  </si>
  <si>
    <t>VARON MICHEL</t>
  </si>
  <si>
    <t>3377</t>
  </si>
  <si>
    <t>JFC CAEN</t>
  </si>
  <si>
    <t>MARY AUTOMOBILES CAEN</t>
  </si>
  <si>
    <t>3001</t>
  </si>
  <si>
    <t>LA TRINITE AUTOMOBILE</t>
  </si>
  <si>
    <t>49483</t>
  </si>
  <si>
    <t>6012</t>
  </si>
  <si>
    <t>MARY AUTOMOBILES LISIEUX</t>
  </si>
  <si>
    <t>5001</t>
  </si>
  <si>
    <t>3314</t>
  </si>
  <si>
    <t>MARY AUTOMOBILES BAYEUX</t>
  </si>
  <si>
    <t>3002</t>
  </si>
  <si>
    <t>VANHESE AUTOMOBILES</t>
  </si>
  <si>
    <t>5619</t>
  </si>
  <si>
    <t>MARY DISTRIBUTION AUTOMOBILE C</t>
  </si>
  <si>
    <t>3004</t>
  </si>
  <si>
    <t>ROPERH AUTOMOBILES</t>
  </si>
  <si>
    <t>3459</t>
  </si>
  <si>
    <t>JFC By Mary Automobiles DEAUVI</t>
  </si>
  <si>
    <t>5194</t>
  </si>
  <si>
    <t>MARTENAT SA</t>
  </si>
  <si>
    <t>3375</t>
  </si>
  <si>
    <t>CAEN NORD AUTOMOBILES</t>
  </si>
  <si>
    <t>3025</t>
  </si>
  <si>
    <t>MARY AUTOMOBILES CHERBOURG</t>
  </si>
  <si>
    <t>4001</t>
  </si>
  <si>
    <t>AF AUTOS</t>
  </si>
  <si>
    <t>5217</t>
  </si>
  <si>
    <t>J.A CARROSSERIE</t>
  </si>
  <si>
    <t>5231</t>
  </si>
  <si>
    <t>3038</t>
  </si>
  <si>
    <t>PATRY Ste Honorine du Fay</t>
  </si>
  <si>
    <t>3029</t>
  </si>
  <si>
    <t>DAVOUST - AVPC</t>
  </si>
  <si>
    <t>403339</t>
  </si>
  <si>
    <t>MARY AUTOMOBILES VIRE</t>
  </si>
  <si>
    <t>1017</t>
  </si>
  <si>
    <t>3032</t>
  </si>
  <si>
    <t>ARMAND</t>
  </si>
  <si>
    <t>3006</t>
  </si>
  <si>
    <t>FOUCHET EMMANUEL</t>
  </si>
  <si>
    <t>5415</t>
  </si>
  <si>
    <t>MARY AUTOMOBILES GRANVILLE</t>
  </si>
  <si>
    <t>2003</t>
  </si>
  <si>
    <t>DU PARC</t>
  </si>
  <si>
    <t>3151</t>
  </si>
  <si>
    <t>GRANDE CARROSSERIE DE L ESTUAI</t>
  </si>
  <si>
    <t>5876</t>
  </si>
  <si>
    <t>MARY MOTOS</t>
  </si>
  <si>
    <t>3662</t>
  </si>
  <si>
    <t>DE LA GARE</t>
  </si>
  <si>
    <t>3010</t>
  </si>
  <si>
    <t>G.L.T.</t>
  </si>
  <si>
    <t>3273</t>
  </si>
  <si>
    <t>MARY AUTOMOBILES SUD MANCHE</t>
  </si>
  <si>
    <t>2001</t>
  </si>
  <si>
    <t>CA ROULE OCCASIONS</t>
  </si>
  <si>
    <t>3632</t>
  </si>
  <si>
    <t>LE GROS BUISSON</t>
  </si>
  <si>
    <t>3014</t>
  </si>
  <si>
    <t>RAULINE THOMAS SAS</t>
  </si>
  <si>
    <t>3601</t>
  </si>
  <si>
    <t>BANNIER</t>
  </si>
  <si>
    <t>5133</t>
  </si>
  <si>
    <t>LESNIS</t>
  </si>
  <si>
    <t>5005</t>
  </si>
  <si>
    <t>SC CARROSSERIE</t>
  </si>
  <si>
    <t>151852</t>
  </si>
  <si>
    <t>LAGUERRE PNEUS</t>
  </si>
  <si>
    <t>3299</t>
  </si>
  <si>
    <t>ST-MICHEL SARL</t>
  </si>
  <si>
    <t>3259</t>
  </si>
  <si>
    <t>A+ GLASS</t>
  </si>
  <si>
    <t>5390</t>
  </si>
  <si>
    <t>FRESNEL AUTOMOBILES</t>
  </si>
  <si>
    <t>3042</t>
  </si>
  <si>
    <t>MANON</t>
  </si>
  <si>
    <t>5307</t>
  </si>
  <si>
    <t>INNOV AUTO</t>
  </si>
  <si>
    <t>3667</t>
  </si>
  <si>
    <t>MARY AUTOMOBILES COUTANCES</t>
  </si>
  <si>
    <t>2002</t>
  </si>
  <si>
    <t>JFC DEAUVILLE</t>
  </si>
  <si>
    <t>SLR AUTOMOBILE</t>
  </si>
  <si>
    <t>3483</t>
  </si>
  <si>
    <t>BUSNEL FRANCK</t>
  </si>
  <si>
    <t>3730</t>
  </si>
  <si>
    <t>SARL PIREL</t>
  </si>
  <si>
    <t>6164</t>
  </si>
  <si>
    <t>CLEAN WASH AUTO</t>
  </si>
  <si>
    <t>3413</t>
  </si>
  <si>
    <t>SAINT AUBIN</t>
  </si>
  <si>
    <t>6005</t>
  </si>
  <si>
    <t>ADC AUTOMOBILE</t>
  </si>
  <si>
    <t>5815</t>
  </si>
  <si>
    <t>LEPY</t>
  </si>
  <si>
    <t>3621</t>
  </si>
  <si>
    <t>CHRETIEN SARL</t>
  </si>
  <si>
    <t>5216</t>
  </si>
  <si>
    <t>SARL GTA LISIEUX</t>
  </si>
  <si>
    <t>5810</t>
  </si>
  <si>
    <t>LMS</t>
  </si>
  <si>
    <t>5137</t>
  </si>
  <si>
    <t>DAC LISIEUX</t>
  </si>
  <si>
    <t>1013</t>
  </si>
  <si>
    <t>GT CARROSSERIE</t>
  </si>
  <si>
    <t>5813</t>
  </si>
  <si>
    <t>CARROSSERIE DU ROUMOIS</t>
  </si>
  <si>
    <t>46863</t>
  </si>
  <si>
    <t>SDIS 14</t>
  </si>
  <si>
    <t>3926</t>
  </si>
  <si>
    <t>MARY AUTOMOBILES SAINT LO</t>
  </si>
  <si>
    <t>1016</t>
  </si>
  <si>
    <t>DE CALIX</t>
  </si>
  <si>
    <t>3162</t>
  </si>
  <si>
    <t>BRETTEVILLE AUTO</t>
  </si>
  <si>
    <t>3019</t>
  </si>
  <si>
    <t>GV AUTOMOBILES</t>
  </si>
  <si>
    <t>3342</t>
  </si>
  <si>
    <t>BOURGES AUTOMOBILES</t>
  </si>
  <si>
    <t>5465</t>
  </si>
  <si>
    <t>HULMEL AUTOMOBILES</t>
  </si>
  <si>
    <t>3738</t>
  </si>
  <si>
    <t>CARROSSERIE DU VILLAGE</t>
  </si>
  <si>
    <t>5793</t>
  </si>
  <si>
    <t>GRUDE</t>
  </si>
  <si>
    <t>3031</t>
  </si>
  <si>
    <t>COIFFARD SARL</t>
  </si>
  <si>
    <t>3187</t>
  </si>
  <si>
    <t>GSA GARAGE SAINTE ANNE</t>
  </si>
  <si>
    <t>5470</t>
  </si>
  <si>
    <t>DU STADE</t>
  </si>
  <si>
    <t>5289</t>
  </si>
  <si>
    <t>DES PEUPLIERS</t>
  </si>
  <si>
    <t>3043</t>
  </si>
  <si>
    <t>GDC AUTO LISIEUX</t>
  </si>
  <si>
    <t>5180</t>
  </si>
  <si>
    <t>CALENGE</t>
  </si>
  <si>
    <t>2006</t>
  </si>
  <si>
    <t>GERARD DOLPIERRE</t>
  </si>
  <si>
    <t>9773</t>
  </si>
  <si>
    <t>GMA</t>
  </si>
  <si>
    <t>6821</t>
  </si>
  <si>
    <t>GDB TURQUETIL</t>
  </si>
  <si>
    <t>5467</t>
  </si>
  <si>
    <t>GARAGE DRUMARE</t>
  </si>
  <si>
    <t>64798</t>
  </si>
  <si>
    <t>THIERRY CLOTTE</t>
  </si>
  <si>
    <t>4025</t>
  </si>
  <si>
    <t>LUBIN AUTOMOBILES</t>
  </si>
  <si>
    <t>3017</t>
  </si>
  <si>
    <t>MGS AUTOMOBILE</t>
  </si>
  <si>
    <t>3751</t>
  </si>
  <si>
    <t>COURSEULLES GARAGE</t>
  </si>
  <si>
    <t>3009</t>
  </si>
  <si>
    <t>THIERS</t>
  </si>
  <si>
    <t>5009</t>
  </si>
  <si>
    <t>LM AUTO</t>
  </si>
  <si>
    <t>5290</t>
  </si>
  <si>
    <t>EURAUTO</t>
  </si>
  <si>
    <t>5015</t>
  </si>
  <si>
    <t>CABOURG AUTOMOBILES RENAULT</t>
  </si>
  <si>
    <t>3386</t>
  </si>
  <si>
    <t>GCA DEAUVILLE</t>
  </si>
  <si>
    <t>5295</t>
  </si>
  <si>
    <t>BRIAND AUTOMOBILES</t>
  </si>
  <si>
    <t>402206</t>
  </si>
  <si>
    <t>MP AUTOMOBILES</t>
  </si>
  <si>
    <t>5017</t>
  </si>
  <si>
    <t>ALETHEIA</t>
  </si>
  <si>
    <t>151843</t>
  </si>
  <si>
    <t>JOIGNEAUX PATTE</t>
  </si>
  <si>
    <t>5154</t>
  </si>
  <si>
    <t>BESSIN AUTOMOBILES</t>
  </si>
  <si>
    <t>2165</t>
  </si>
  <si>
    <t>DE LA COLLINE</t>
  </si>
  <si>
    <t>3160</t>
  </si>
  <si>
    <t>ADE</t>
  </si>
  <si>
    <t>5173</t>
  </si>
  <si>
    <t>MAIRIE DE DIVES SUR MER</t>
  </si>
  <si>
    <t>6247</t>
  </si>
  <si>
    <t>ALLEAUME SEBASTIEN</t>
  </si>
  <si>
    <t>5389</t>
  </si>
  <si>
    <t>BOURGUEBUS AUTO</t>
  </si>
  <si>
    <t>3045</t>
  </si>
  <si>
    <t>LEBEDEL AUTOMOBILES</t>
  </si>
  <si>
    <t>2012</t>
  </si>
  <si>
    <t>DE L AVENIR SARL</t>
  </si>
  <si>
    <t>5317</t>
  </si>
  <si>
    <t>LECLAIR</t>
  </si>
  <si>
    <t>3398</t>
  </si>
  <si>
    <t>EMCB</t>
  </si>
  <si>
    <t>3715</t>
  </si>
  <si>
    <t>ROBILLARD SAS</t>
  </si>
  <si>
    <t>5016</t>
  </si>
  <si>
    <t>MC2J SERVICE</t>
  </si>
  <si>
    <t>3851</t>
  </si>
  <si>
    <t>NBC CARROSSERIE</t>
  </si>
  <si>
    <t>3472</t>
  </si>
  <si>
    <t>EXPANSIA CARROSSERIE</t>
  </si>
  <si>
    <t>3668</t>
  </si>
  <si>
    <t>FELISAZ</t>
  </si>
  <si>
    <t>5143</t>
  </si>
  <si>
    <t>LESIEUR GARAGE SARL</t>
  </si>
  <si>
    <t>2778</t>
  </si>
  <si>
    <t>LEROUTIER SARL</t>
  </si>
  <si>
    <t>4002</t>
  </si>
  <si>
    <t>FABS GARAGE ET PIECES</t>
  </si>
  <si>
    <t>3477</t>
  </si>
  <si>
    <t>CARROSSERIE DU GRAND BOURG</t>
  </si>
  <si>
    <t>66248</t>
  </si>
  <si>
    <t>SERVAGER</t>
  </si>
  <si>
    <t>3026</t>
  </si>
  <si>
    <t>DE LA BALEINE</t>
  </si>
  <si>
    <t>3208</t>
  </si>
  <si>
    <t>DAVID ALAIN</t>
  </si>
  <si>
    <t>3125</t>
  </si>
  <si>
    <t>SARL CLASSIC MOTORS</t>
  </si>
  <si>
    <t>6214</t>
  </si>
  <si>
    <t>CARPIQUET CARROSSERIE</t>
  </si>
  <si>
    <t>3663</t>
  </si>
  <si>
    <t>SOCIETE AUTOMOBILE DU MORTAINA</t>
  </si>
  <si>
    <t>2024</t>
  </si>
  <si>
    <t>AUTO-TEIX</t>
  </si>
  <si>
    <t>3634</t>
  </si>
  <si>
    <t>VILLE DE LISIEUX - Service Fin</t>
  </si>
  <si>
    <t>5827</t>
  </si>
  <si>
    <t>AUTOMOBILES RS</t>
  </si>
  <si>
    <t>3784</t>
  </si>
  <si>
    <t>GARAGE DEMIEUX BRUNO</t>
  </si>
  <si>
    <t>2959</t>
  </si>
  <si>
    <t>MASSA PERE ET FILS</t>
  </si>
  <si>
    <t>3021</t>
  </si>
  <si>
    <t>AUTO-SERVICES</t>
  </si>
  <si>
    <t>5151</t>
  </si>
  <si>
    <t>JF AUTOMOBILE</t>
  </si>
  <si>
    <t>3470</t>
  </si>
  <si>
    <t>AD AUTOMOBILES</t>
  </si>
  <si>
    <t>3457</t>
  </si>
  <si>
    <t>LAUVRIERE SARL</t>
  </si>
  <si>
    <t>5131</t>
  </si>
  <si>
    <t>PONT L EVEQUE AUTO</t>
  </si>
  <si>
    <t>5310</t>
  </si>
  <si>
    <t>MANCHE AUTO</t>
  </si>
  <si>
    <t>4410</t>
  </si>
  <si>
    <t>GO CARS</t>
  </si>
  <si>
    <t>4026</t>
  </si>
  <si>
    <t>LA CARROSSERIE TESTU AUTOMOBIL</t>
  </si>
  <si>
    <t>63078</t>
  </si>
  <si>
    <t>LABELLE AUTOMOBILE</t>
  </si>
  <si>
    <t>5473</t>
  </si>
  <si>
    <t>MEZIDON AUTOMOBILE</t>
  </si>
  <si>
    <t>3978</t>
  </si>
  <si>
    <t>PONTS AUTOMOBILES</t>
  </si>
  <si>
    <t>2423</t>
  </si>
  <si>
    <t>GLV AUTOMOBILE</t>
  </si>
  <si>
    <t>5312</t>
  </si>
  <si>
    <t>SADA CITROEN ALENCON</t>
  </si>
  <si>
    <t>1036</t>
  </si>
  <si>
    <t>MONZA AUTOMOBILES</t>
  </si>
  <si>
    <t>5377</t>
  </si>
  <si>
    <t>DU PERIPH</t>
  </si>
  <si>
    <t>3013</t>
  </si>
  <si>
    <t>DE LA PEPINIERE</t>
  </si>
  <si>
    <t>402203</t>
  </si>
  <si>
    <t>PASSARD</t>
  </si>
  <si>
    <t>3191</t>
  </si>
  <si>
    <t>SARL DUMOTTIER</t>
  </si>
  <si>
    <t>2066</t>
  </si>
  <si>
    <t>DUFOUR SARL</t>
  </si>
  <si>
    <t>5273</t>
  </si>
  <si>
    <t>GARAGE VOUILLY</t>
  </si>
  <si>
    <t>2089</t>
  </si>
  <si>
    <t>GARAGE DES RONCHETTES CONCES O</t>
  </si>
  <si>
    <t>2154</t>
  </si>
  <si>
    <t>LE NEUBOURG TECHNIQUE AUTO</t>
  </si>
  <si>
    <t>135324</t>
  </si>
  <si>
    <t>SARL CVIO  BOSCH CAR SERVICE</t>
  </si>
  <si>
    <t>6162</t>
  </si>
  <si>
    <t>MORIN OUISTREHAM AUTO</t>
  </si>
  <si>
    <t>3383</t>
  </si>
  <si>
    <t>LEMONNIER</t>
  </si>
  <si>
    <t>2014</t>
  </si>
  <si>
    <t>QUIGNETTE SARL</t>
  </si>
  <si>
    <t>3348</t>
  </si>
  <si>
    <t>M-Y AUTOMOBILE</t>
  </si>
  <si>
    <t>3193</t>
  </si>
  <si>
    <t>LMA</t>
  </si>
  <si>
    <t>5311</t>
  </si>
  <si>
    <t>SAMMAR AUTOMOBILES</t>
  </si>
  <si>
    <t>3416</t>
  </si>
  <si>
    <t>DECLERCK AUTOMOBILES</t>
  </si>
  <si>
    <t>3200</t>
  </si>
  <si>
    <t>PLANETE CARROSSERIE</t>
  </si>
  <si>
    <t>3458</t>
  </si>
  <si>
    <t>GUERARD MATTHIEU</t>
  </si>
  <si>
    <t>3675</t>
  </si>
  <si>
    <t>DE  LA ZONE</t>
  </si>
  <si>
    <t>5168</t>
  </si>
  <si>
    <t>EURL JA CARROSSERIE</t>
  </si>
  <si>
    <t>6202</t>
  </si>
  <si>
    <t>MOLIN ET BOURDON AUTOMOBILES</t>
  </si>
  <si>
    <t>3717</t>
  </si>
  <si>
    <t>CAR S 2J</t>
  </si>
  <si>
    <t>3425</t>
  </si>
  <si>
    <t>LEBISEY AUTOMOBILE</t>
  </si>
  <si>
    <t>3302</t>
  </si>
  <si>
    <t>DES HAUTS VENTS</t>
  </si>
  <si>
    <t>3760</t>
  </si>
  <si>
    <t>BLIAUX</t>
  </si>
  <si>
    <t>5187</t>
  </si>
  <si>
    <t>MEZIDON CARROSSERIE</t>
  </si>
  <si>
    <t>3443</t>
  </si>
  <si>
    <t>MICHEL SARL</t>
  </si>
  <si>
    <t>3267</t>
  </si>
  <si>
    <t>ALAIN GARAGE</t>
  </si>
  <si>
    <t>6186</t>
  </si>
  <si>
    <t>CARA</t>
  </si>
  <si>
    <t>3408</t>
  </si>
  <si>
    <t>GARAGE SENECAL  GAUCHET</t>
  </si>
  <si>
    <t>6237</t>
  </si>
  <si>
    <t>GARAGE QUIGNETTE</t>
  </si>
  <si>
    <t>6004</t>
  </si>
  <si>
    <t>DE LA COTE</t>
  </si>
  <si>
    <t>3028</t>
  </si>
  <si>
    <t>JTD DEBOSSELAGE</t>
  </si>
  <si>
    <t>3450</t>
  </si>
  <si>
    <t>JEAN ERIC SARL</t>
  </si>
  <si>
    <t>3291</t>
  </si>
  <si>
    <t>ROGNON ET FILS</t>
  </si>
  <si>
    <t>5007</t>
  </si>
  <si>
    <t>DEPARROIS BRIONNE</t>
  </si>
  <si>
    <t>5432</t>
  </si>
  <si>
    <t>FD GARAGE</t>
  </si>
  <si>
    <t>5253</t>
  </si>
  <si>
    <t>JP LEMARECHAL SARL</t>
  </si>
  <si>
    <t>2158</t>
  </si>
  <si>
    <t>GARAGE CARVI EUROREPAR</t>
  </si>
  <si>
    <t>4551</t>
  </si>
  <si>
    <t>EURO-LOC</t>
  </si>
  <si>
    <t>3872</t>
  </si>
  <si>
    <t>MARESCAL SARL</t>
  </si>
  <si>
    <t>3319</t>
  </si>
  <si>
    <t>DL AUTO</t>
  </si>
  <si>
    <t>3394</t>
  </si>
  <si>
    <t>DUFOUR SARL AGENT CITROEN</t>
  </si>
  <si>
    <t>62919</t>
  </si>
  <si>
    <t>SMT S.A.S.U.</t>
  </si>
  <si>
    <t>3630</t>
  </si>
  <si>
    <t>LEBEDEL AUTOMOBILES - St-James</t>
  </si>
  <si>
    <t>2179</t>
  </si>
  <si>
    <t>GALLOT AUTOMOBILES</t>
  </si>
  <si>
    <t>2021</t>
  </si>
  <si>
    <t>SEMV MIDAS DIVES SUR MER</t>
  </si>
  <si>
    <t>3771</t>
  </si>
  <si>
    <t>SAINT DESIR</t>
  </si>
  <si>
    <t>5003</t>
  </si>
  <si>
    <t>BOULAY AUTOMOBILES</t>
  </si>
  <si>
    <t>3274</t>
  </si>
  <si>
    <t>VASSY AUTOMOBILE  PEUGEOT</t>
  </si>
  <si>
    <t>1907</t>
  </si>
  <si>
    <t>ASL GIBERVILLE</t>
  </si>
  <si>
    <t>3011</t>
  </si>
  <si>
    <t>DELARCHE VINCENT</t>
  </si>
  <si>
    <t>65838</t>
  </si>
  <si>
    <t>SARL GARAGE LETELLIER</t>
  </si>
  <si>
    <t>5063</t>
  </si>
  <si>
    <t>MARNEUX</t>
  </si>
  <si>
    <t>3609</t>
  </si>
  <si>
    <t>EUDES</t>
  </si>
  <si>
    <t>3037</t>
  </si>
  <si>
    <t>GARAGE DUVAL</t>
  </si>
  <si>
    <t>3786</t>
  </si>
  <si>
    <t>VIEL AUTOMOBILES</t>
  </si>
  <si>
    <t>62789</t>
  </si>
  <si>
    <t>BOULE</t>
  </si>
  <si>
    <t>2139</t>
  </si>
  <si>
    <t>PATRY Louvigny</t>
  </si>
  <si>
    <t>3030</t>
  </si>
  <si>
    <t>DESERT AUTOMOBILES</t>
  </si>
  <si>
    <t>3285</t>
  </si>
  <si>
    <t>JFC LISIEUX</t>
  </si>
  <si>
    <t>POMPANON-LETELLIER</t>
  </si>
  <si>
    <t>5880</t>
  </si>
  <si>
    <t>DE L EUROPE</t>
  </si>
  <si>
    <t>403055</t>
  </si>
  <si>
    <t>NM AUTOMOBILES</t>
  </si>
  <si>
    <t>2528</t>
  </si>
  <si>
    <t>QUETRON OLIVIER</t>
  </si>
  <si>
    <t>3701</t>
  </si>
  <si>
    <t>GARAGE PASCAL JEANNE</t>
  </si>
  <si>
    <t>3722</t>
  </si>
  <si>
    <t>OBBO CARROSSIERS</t>
  </si>
  <si>
    <t>5371</t>
  </si>
  <si>
    <t>VAL DE SAIRE AUTOMOBILES</t>
  </si>
  <si>
    <t>4004</t>
  </si>
  <si>
    <t>CARROSSERIE LEROY</t>
  </si>
  <si>
    <t>3046</t>
  </si>
  <si>
    <t>INSTITUT CAMILLE BLAISOT</t>
  </si>
  <si>
    <t>3747</t>
  </si>
  <si>
    <t>JARRY</t>
  </si>
  <si>
    <t>3280</t>
  </si>
  <si>
    <t>SAS BESSIN AUTOMOBILES</t>
  </si>
  <si>
    <t>BMN NIGNOL</t>
  </si>
  <si>
    <t>4008</t>
  </si>
  <si>
    <t>GUIHENEUC EURL</t>
  </si>
  <si>
    <t>6175</t>
  </si>
  <si>
    <t>LES VACHES NOIRES</t>
  </si>
  <si>
    <t>5198</t>
  </si>
  <si>
    <t>MAIRIE DE DEAUVILLE</t>
  </si>
  <si>
    <t>5828</t>
  </si>
  <si>
    <t>EURL FLEURY CARROSSERIE</t>
  </si>
  <si>
    <t>5774</t>
  </si>
  <si>
    <t>PIERRE VARIGNON JSPV</t>
  </si>
  <si>
    <t>3211</t>
  </si>
  <si>
    <t>JSB AUTO</t>
  </si>
  <si>
    <t>2022</t>
  </si>
  <si>
    <t>GDNS</t>
  </si>
  <si>
    <t>5136</t>
  </si>
  <si>
    <t>DOUMOS</t>
  </si>
  <si>
    <t>3721</t>
  </si>
  <si>
    <t>MAIRIE DE DOUVRES-LA-DELIVRAND</t>
  </si>
  <si>
    <t>3759</t>
  </si>
  <si>
    <t>BEAULIEU AUTOMOBILES</t>
  </si>
  <si>
    <t>3378</t>
  </si>
  <si>
    <t>JFC By Mary Automobiles - DEAU</t>
  </si>
  <si>
    <t>ENERGY REPROG</t>
  </si>
  <si>
    <t>3648</t>
  </si>
  <si>
    <t>FRED OTO</t>
  </si>
  <si>
    <t>3933</t>
  </si>
  <si>
    <t>SMD AUTOMOBILES</t>
  </si>
  <si>
    <t>3250</t>
  </si>
  <si>
    <t>MADELAINE PHILIPPE</t>
  </si>
  <si>
    <t>3329</t>
  </si>
  <si>
    <t>FV AUTOMOBILE</t>
  </si>
  <si>
    <t>3691</t>
  </si>
  <si>
    <t>NORMANDIE AUTO PIECE</t>
  </si>
  <si>
    <t>3196</t>
  </si>
  <si>
    <t>MATHIEN</t>
  </si>
  <si>
    <t>5219</t>
  </si>
  <si>
    <t>YAM 14</t>
  </si>
  <si>
    <t>3646</t>
  </si>
  <si>
    <t>SACOA CITROEN FLERS</t>
  </si>
  <si>
    <t>LGS</t>
  </si>
  <si>
    <t>5474</t>
  </si>
  <si>
    <t>RIV AUTO</t>
  </si>
  <si>
    <t>5130</t>
  </si>
  <si>
    <t>GARAGE DES SOURCES</t>
  </si>
  <si>
    <t>135179</t>
  </si>
  <si>
    <t>LEMARROIS</t>
  </si>
  <si>
    <t>5160</t>
  </si>
  <si>
    <t>VOISIN</t>
  </si>
  <si>
    <t>3262</t>
  </si>
  <si>
    <t>JM CARROSSERIE</t>
  </si>
  <si>
    <t>3785</t>
  </si>
  <si>
    <t>CAR PROJECT</t>
  </si>
  <si>
    <t>3960</t>
  </si>
  <si>
    <t>GARAGE ALIX</t>
  </si>
  <si>
    <t>5955</t>
  </si>
  <si>
    <t>DICOMA CONCESSION CITROEN BAYE</t>
  </si>
  <si>
    <t>4419</t>
  </si>
  <si>
    <t>LEMARCHAND OLIVIER</t>
  </si>
  <si>
    <t>5314</t>
  </si>
  <si>
    <t>DOZULE AUTO</t>
  </si>
  <si>
    <t>5426</t>
  </si>
  <si>
    <t>AUTOMOBILES BEAUMONTAISES</t>
  </si>
  <si>
    <t>38252</t>
  </si>
  <si>
    <t>DE CANON</t>
  </si>
  <si>
    <t>3696</t>
  </si>
  <si>
    <t>THOMAS M. SARL</t>
  </si>
  <si>
    <t>3370</t>
  </si>
  <si>
    <t>B.R. AUTOMOBILE</t>
  </si>
  <si>
    <t>3476</t>
  </si>
  <si>
    <t>DAC DEAUVILLE</t>
  </si>
  <si>
    <t>1047</t>
  </si>
  <si>
    <t>ROUGIER ET FILS</t>
  </si>
  <si>
    <t>3849</t>
  </si>
  <si>
    <t>MJG AUTO - GARAGE DES ALLIES</t>
  </si>
  <si>
    <t>3790</t>
  </si>
  <si>
    <t>MAXIME</t>
  </si>
  <si>
    <t>3328</t>
  </si>
  <si>
    <t>DU CHALET</t>
  </si>
  <si>
    <t>5121</t>
  </si>
  <si>
    <t>CARROSSERIE BURGOT</t>
  </si>
  <si>
    <t>5227</t>
  </si>
  <si>
    <t>RELAIS AUTO LEXOVIEN</t>
  </si>
  <si>
    <t>5814</t>
  </si>
  <si>
    <t>DUMOULIN</t>
  </si>
  <si>
    <t>5106</t>
  </si>
  <si>
    <t>MR MARIE DIDIER AUTOMOBILES</t>
  </si>
  <si>
    <t>1822</t>
  </si>
  <si>
    <t>BOURDON</t>
  </si>
  <si>
    <t>3138</t>
  </si>
  <si>
    <t>SAINT-PIERRE</t>
  </si>
  <si>
    <t>6015</t>
  </si>
  <si>
    <t>SY RETAP AUTO</t>
  </si>
  <si>
    <t>3776</t>
  </si>
  <si>
    <t>H2C AUTOMOBILE</t>
  </si>
  <si>
    <t>3481</t>
  </si>
  <si>
    <t>RTA</t>
  </si>
  <si>
    <t>3131</t>
  </si>
  <si>
    <t>NOXANE</t>
  </si>
  <si>
    <t>5220</t>
  </si>
  <si>
    <t>SOSSON GERARD SARL</t>
  </si>
  <si>
    <t>3366</t>
  </si>
  <si>
    <t>BONNEVILLE GARAGE</t>
  </si>
  <si>
    <t>5292</t>
  </si>
  <si>
    <t>DUPONT SARL</t>
  </si>
  <si>
    <t>6208</t>
  </si>
  <si>
    <t>AP AUTO</t>
  </si>
  <si>
    <t>3586</t>
  </si>
  <si>
    <t>JFB AUTOMOBILES</t>
  </si>
  <si>
    <t>2275</t>
  </si>
  <si>
    <t>ETS CAEN-SUD DEPUIS 1956</t>
  </si>
  <si>
    <t>3018</t>
  </si>
  <si>
    <t>VYLYA</t>
  </si>
  <si>
    <t>3161</t>
  </si>
  <si>
    <t>VF AUTOMOBILES.</t>
  </si>
  <si>
    <t>45434</t>
  </si>
  <si>
    <t>WIART ETS W.AUTO</t>
  </si>
  <si>
    <t>3596</t>
  </si>
  <si>
    <t>CENTRE AUTO ISIGNY</t>
  </si>
  <si>
    <t>2130</t>
  </si>
  <si>
    <t>ANGER AUTOMOBILES</t>
  </si>
  <si>
    <t>5210</t>
  </si>
  <si>
    <t>BEUZEVILLE AUTOMOBILES</t>
  </si>
  <si>
    <t>64772</t>
  </si>
  <si>
    <t>ETIENNE</t>
  </si>
  <si>
    <t>5446</t>
  </si>
  <si>
    <t>BS AUTOMOBILE SARL</t>
  </si>
  <si>
    <t>63348</t>
  </si>
  <si>
    <t>GARAGE SAS JOSSE</t>
  </si>
  <si>
    <t>1819</t>
  </si>
  <si>
    <t>D ARGENCES</t>
  </si>
  <si>
    <t>3732</t>
  </si>
  <si>
    <t>GARAGE RAMIRO</t>
  </si>
  <si>
    <t>6210</t>
  </si>
  <si>
    <t>DRIJARD</t>
  </si>
  <si>
    <t>5161</t>
  </si>
  <si>
    <t>VR AUTO</t>
  </si>
  <si>
    <t>403333</t>
  </si>
  <si>
    <t>BRILAN</t>
  </si>
  <si>
    <t>5388</t>
  </si>
  <si>
    <t>A.A.A.</t>
  </si>
  <si>
    <t>3734</t>
  </si>
  <si>
    <t>CENTRE AUTO EXPERT PETRUVIEN</t>
  </si>
  <si>
    <t>5203</t>
  </si>
  <si>
    <t>CREVON ERIC</t>
  </si>
  <si>
    <t>3788</t>
  </si>
  <si>
    <t>DELAUNE AUTOMOBILE EIRL</t>
  </si>
  <si>
    <t>3293</t>
  </si>
  <si>
    <t>DE LA SEE</t>
  </si>
  <si>
    <t>6016</t>
  </si>
  <si>
    <t>CITY COLIS 14 SASU</t>
  </si>
  <si>
    <t>3277</t>
  </si>
  <si>
    <t>MOCQUET SARL</t>
  </si>
  <si>
    <t>4006</t>
  </si>
  <si>
    <t>TOUT POUR L AUTO</t>
  </si>
  <si>
    <t>4585</t>
  </si>
  <si>
    <t>LE ROYER DIDIER</t>
  </si>
  <si>
    <t>3704</t>
  </si>
  <si>
    <t>LGB AUTOS</t>
  </si>
  <si>
    <t>3024</t>
  </si>
  <si>
    <t>GARAGE DU MARTRAY</t>
  </si>
  <si>
    <t>3315</t>
  </si>
  <si>
    <t>MIKA AUTOMOBILES</t>
  </si>
  <si>
    <t>3105</t>
  </si>
  <si>
    <t>GARAGE SAS JOSSE PEINTURE</t>
  </si>
  <si>
    <t>5129</t>
  </si>
  <si>
    <t>LEROY</t>
  </si>
  <si>
    <t>3016</t>
  </si>
  <si>
    <t>MME POSTEL</t>
  </si>
  <si>
    <t>9133</t>
  </si>
  <si>
    <t>MOREAU AUTOMOBILES</t>
  </si>
  <si>
    <t>2019</t>
  </si>
  <si>
    <t>DE DEMOUVILLE</t>
  </si>
  <si>
    <t>3608</t>
  </si>
  <si>
    <t>SARL NDA 14</t>
  </si>
  <si>
    <t>5403</t>
  </si>
  <si>
    <t>m guenier</t>
  </si>
  <si>
    <t>N ET M AUTOMOBILES</t>
  </si>
  <si>
    <t>5184</t>
  </si>
  <si>
    <t>GARAGE AMAND</t>
  </si>
  <si>
    <t>L AUTO ENTRETIEN</t>
  </si>
  <si>
    <t>3407</t>
  </si>
  <si>
    <t>DEBOSS ECLAIR - SOLIERS AUTOMO</t>
  </si>
  <si>
    <t>3765</t>
  </si>
  <si>
    <t>DES GRANDS PRES SARL</t>
  </si>
  <si>
    <t>3795</t>
  </si>
  <si>
    <t>JULIEN AUTOMOBILES</t>
  </si>
  <si>
    <t>6598</t>
  </si>
  <si>
    <t>PIERRE</t>
  </si>
  <si>
    <t>5218</t>
  </si>
  <si>
    <t>GARAGE DE LA SUISSE NORMANDE</t>
  </si>
  <si>
    <t>3714</t>
  </si>
  <si>
    <t>P2B AUTO</t>
  </si>
  <si>
    <t>5414</t>
  </si>
  <si>
    <t>HELAINE SARL</t>
  </si>
  <si>
    <t>3284</t>
  </si>
  <si>
    <t>SOS MECANO</t>
  </si>
  <si>
    <t>5343</t>
  </si>
  <si>
    <t>3260</t>
  </si>
  <si>
    <t>EURL MTA MECATECAUTO</t>
  </si>
  <si>
    <t>6300</t>
  </si>
  <si>
    <t>AUTOMOBILES DE COTE DE NACRE</t>
  </si>
  <si>
    <t>3666</t>
  </si>
  <si>
    <t>AUTO DEMONSTRATION</t>
  </si>
  <si>
    <t>3389</t>
  </si>
  <si>
    <t>MONDEVILLE AUTO SERVICES</t>
  </si>
  <si>
    <t>3420</t>
  </si>
  <si>
    <t>COIGNARD S.A.S. - GARAGE RENAU</t>
  </si>
  <si>
    <t>5268</t>
  </si>
  <si>
    <t>GAUTIER</t>
  </si>
  <si>
    <t>3133</t>
  </si>
  <si>
    <t>LUST J-F</t>
  </si>
  <si>
    <t>5237</t>
  </si>
  <si>
    <t>GARAGE MARIE</t>
  </si>
  <si>
    <t>1952</t>
  </si>
  <si>
    <t>MOAL AUTO</t>
  </si>
  <si>
    <t>3453</t>
  </si>
  <si>
    <t>TOUFLET LAURENT</t>
  </si>
  <si>
    <t>5128</t>
  </si>
  <si>
    <t>GT AUTO PERF 14</t>
  </si>
  <si>
    <t>3487</t>
  </si>
  <si>
    <t>DICOMA CONCESSION CITROEN ST L</t>
  </si>
  <si>
    <t>RIVER MOTOR</t>
  </si>
  <si>
    <t>3950</t>
  </si>
  <si>
    <t>AN GLASS</t>
  </si>
  <si>
    <t>3703</t>
  </si>
  <si>
    <t>CARROSSERIE ALB</t>
  </si>
  <si>
    <t>550354</t>
  </si>
  <si>
    <t>SARL GARAGE BESNARD</t>
  </si>
  <si>
    <t>150847</t>
  </si>
  <si>
    <t>GTA SARL</t>
  </si>
  <si>
    <t>3145</t>
  </si>
  <si>
    <t>MANU SERVICES AUTO</t>
  </si>
  <si>
    <t>3781</t>
  </si>
  <si>
    <t>CONCEPT CAR AVENUE</t>
  </si>
  <si>
    <t>3282</t>
  </si>
  <si>
    <t>MULTI GROUPE</t>
  </si>
  <si>
    <t>3362</t>
  </si>
  <si>
    <t>3633</t>
  </si>
  <si>
    <t>LGB MECANIQUE</t>
  </si>
  <si>
    <t>3974</t>
  </si>
  <si>
    <t>6849</t>
  </si>
  <si>
    <t>MACADAM AUTO</t>
  </si>
  <si>
    <t>6170</t>
  </si>
  <si>
    <t>AES AUTOMOBILES</t>
  </si>
  <si>
    <t>3652</t>
  </si>
  <si>
    <t>SARL DUAU</t>
  </si>
  <si>
    <t>5178</t>
  </si>
  <si>
    <t>ACPL</t>
  </si>
  <si>
    <t>5169</t>
  </si>
  <si>
    <t>GUILLOTIN</t>
  </si>
  <si>
    <t>5221</t>
  </si>
  <si>
    <t>CLASSIC AUTO</t>
  </si>
  <si>
    <t>3179</t>
  </si>
  <si>
    <t>CLAUDE FOURNIS AUTOMOBILES FOR</t>
  </si>
  <si>
    <t>5540</t>
  </si>
  <si>
    <t>HANNOT THIERRY</t>
  </si>
  <si>
    <t>4235</t>
  </si>
  <si>
    <t>JSB AUTO AGENT CITROEN</t>
  </si>
  <si>
    <t>4934</t>
  </si>
  <si>
    <t>LB AUTO</t>
  </si>
  <si>
    <t>ROYERE</t>
  </si>
  <si>
    <t>9706</t>
  </si>
  <si>
    <t>SARL CVIO</t>
  </si>
  <si>
    <t>VAN DER WAGEN</t>
  </si>
  <si>
    <t>3660</t>
  </si>
  <si>
    <t>DES AILES</t>
  </si>
  <si>
    <t>3245</t>
  </si>
  <si>
    <t>DES RONCHETTES</t>
  </si>
  <si>
    <t>6146</t>
  </si>
  <si>
    <t>GARAGE LEROY</t>
  </si>
  <si>
    <t>CRV</t>
  </si>
  <si>
    <t>3439</t>
  </si>
  <si>
    <t>DRT TRANSPORTS</t>
  </si>
  <si>
    <t>5283</t>
  </si>
  <si>
    <t>CAEN PNEUS SERVICE - POINT S</t>
  </si>
  <si>
    <t>3456</t>
  </si>
  <si>
    <t>GARAGE SAINT PIERRE</t>
  </si>
  <si>
    <t>5490</t>
  </si>
  <si>
    <t>MARY RECYCLAGE</t>
  </si>
  <si>
    <t>5000</t>
  </si>
  <si>
    <t>ST PAIR</t>
  </si>
  <si>
    <t>3364</t>
  </si>
  <si>
    <t>ARMAND TRANSPORT REMORQUAGE</t>
  </si>
  <si>
    <t>3584</t>
  </si>
  <si>
    <t>HASTINGS</t>
  </si>
  <si>
    <t>3242</t>
  </si>
  <si>
    <t>GUILLOT AUTOMOBILES SARL</t>
  </si>
  <si>
    <t>23326</t>
  </si>
  <si>
    <t>mme lepopian</t>
  </si>
  <si>
    <t>9100</t>
  </si>
  <si>
    <t>DICOMA CONCESSION CITROEN COUT</t>
  </si>
  <si>
    <t>2108</t>
  </si>
  <si>
    <t>BLAVETTE</t>
  </si>
  <si>
    <t>3737</t>
  </si>
  <si>
    <t>DS AUTOS</t>
  </si>
  <si>
    <t>3606</t>
  </si>
  <si>
    <t>PARIS NORMANDIE MONDEVILLE</t>
  </si>
  <si>
    <t>3107</t>
  </si>
  <si>
    <t>LV AUTOS 27</t>
  </si>
  <si>
    <t>66620</t>
  </si>
  <si>
    <t>INTER AUTO</t>
  </si>
  <si>
    <t>5125</t>
  </si>
  <si>
    <t>STM</t>
  </si>
  <si>
    <t>3637</t>
  </si>
  <si>
    <t>VIEL MICHEL</t>
  </si>
  <si>
    <t>4145</t>
  </si>
  <si>
    <t>LAPLUME AUTO</t>
  </si>
  <si>
    <t>6492</t>
  </si>
  <si>
    <t>MIDI AUTO 27</t>
  </si>
  <si>
    <t>63651</t>
  </si>
  <si>
    <t>NDA14 CARROSSERIE</t>
  </si>
  <si>
    <t>6628</t>
  </si>
  <si>
    <t>135STILL</t>
  </si>
  <si>
    <t>3876</t>
  </si>
  <si>
    <t>FRANCE ALLIANCE 14</t>
  </si>
  <si>
    <t>7011</t>
  </si>
  <si>
    <t>L ATELIER AUTO MOTO SASU</t>
  </si>
  <si>
    <t>3657</t>
  </si>
  <si>
    <t>BY CHAB</t>
  </si>
  <si>
    <t>5298</t>
  </si>
  <si>
    <t>DUBREUIL BOURG ACHARD</t>
  </si>
  <si>
    <t>402004</t>
  </si>
  <si>
    <t>FRANCE PARE BRISE</t>
  </si>
  <si>
    <t>3232</t>
  </si>
  <si>
    <t>ML PIECES AUTO</t>
  </si>
  <si>
    <t>3976</t>
  </si>
  <si>
    <t>JCBS AUTOMOBILE</t>
  </si>
  <si>
    <t>6670</t>
  </si>
  <si>
    <t>LA AUTOMOBILES</t>
  </si>
  <si>
    <t>5103</t>
  </si>
  <si>
    <t>M LEBAS</t>
  </si>
  <si>
    <t>MARIE Jeremy</t>
  </si>
  <si>
    <t>9700</t>
  </si>
  <si>
    <t>SLS AUTOMOBILES</t>
  </si>
  <si>
    <t>137078</t>
  </si>
  <si>
    <t>AMBO</t>
  </si>
  <si>
    <t>3305</t>
  </si>
  <si>
    <t>AUTO CAMPING CAR SERVICE</t>
  </si>
  <si>
    <t>3155</t>
  </si>
  <si>
    <t>PBA</t>
  </si>
  <si>
    <t>5462</t>
  </si>
  <si>
    <t>SAS GERARD</t>
  </si>
  <si>
    <t>3713</t>
  </si>
  <si>
    <t>92012</t>
  </si>
  <si>
    <t>JC2R COMPOSITES</t>
  </si>
  <si>
    <t>3585</t>
  </si>
  <si>
    <t>PORT GUILLAUME AUTO NEGOCE</t>
  </si>
  <si>
    <t>3641</t>
  </si>
  <si>
    <t>GABAN</t>
  </si>
  <si>
    <t>5879</t>
  </si>
  <si>
    <t>SARL GARAGE DESRAME</t>
  </si>
  <si>
    <t>6031</t>
  </si>
  <si>
    <t>SOBAIE SITE DE GRANVILLE</t>
  </si>
  <si>
    <t>2495</t>
  </si>
  <si>
    <t>Taclet</t>
  </si>
  <si>
    <t>CALVADOS COLIS</t>
  </si>
  <si>
    <t>3485</t>
  </si>
  <si>
    <t>GAY AURELIE</t>
  </si>
  <si>
    <t>PASSION 2 L AUTO</t>
  </si>
  <si>
    <t>3372</t>
  </si>
  <si>
    <t>SAINT VAAST AUTO</t>
  </si>
  <si>
    <t>4282</t>
  </si>
  <si>
    <t>TRANSMISSION 14</t>
  </si>
  <si>
    <t>TROUVILLE RESTAURATION</t>
  </si>
  <si>
    <t>5832</t>
  </si>
  <si>
    <t>GARAGE BERNARD MARIE</t>
  </si>
  <si>
    <t>2070</t>
  </si>
  <si>
    <t>M lemonnier</t>
  </si>
  <si>
    <t>Mr Granville</t>
  </si>
  <si>
    <t>R AUTO</t>
  </si>
  <si>
    <t>5475</t>
  </si>
  <si>
    <t>WM Auto</t>
  </si>
  <si>
    <t>167730</t>
  </si>
  <si>
    <t>AGENCE DES TILLEULS</t>
  </si>
  <si>
    <t>100840</t>
  </si>
  <si>
    <t>DE CREULLY</t>
  </si>
  <si>
    <t>3725</t>
  </si>
  <si>
    <t>JS PERFORMANCE AUTOMOBILE</t>
  </si>
  <si>
    <t>6484</t>
  </si>
  <si>
    <t>SBGD</t>
  </si>
  <si>
    <t>3697</t>
  </si>
  <si>
    <t>SPECIAL T</t>
  </si>
  <si>
    <t>3897</t>
  </si>
  <si>
    <t>GARAGE ADE</t>
  </si>
  <si>
    <t>150786</t>
  </si>
  <si>
    <t>K   E AUTO</t>
  </si>
  <si>
    <t>6623</t>
  </si>
  <si>
    <t>M.Brunet</t>
  </si>
  <si>
    <t>NY AUTOMOBILES</t>
  </si>
  <si>
    <t>3292</t>
  </si>
  <si>
    <t>SCAUTO BAYEUX</t>
  </si>
  <si>
    <t>3122</t>
  </si>
  <si>
    <t>CAEN AUTOMOBILES SARL</t>
  </si>
  <si>
    <t>3426</t>
  </si>
  <si>
    <t>CORVEE</t>
  </si>
  <si>
    <t>9122</t>
  </si>
  <si>
    <t>7017</t>
  </si>
  <si>
    <t>DELAUNAY</t>
  </si>
  <si>
    <t>htl transport</t>
  </si>
  <si>
    <t>VAUQUELIN XAVIER</t>
  </si>
  <si>
    <t>3379</t>
  </si>
  <si>
    <t>m amaury laurent</t>
  </si>
  <si>
    <t>Marty</t>
  </si>
  <si>
    <t>MICHAEL JARRY</t>
  </si>
  <si>
    <t>M.JACQUETTE</t>
  </si>
  <si>
    <t>BARBE</t>
  </si>
  <si>
    <t>5190</t>
  </si>
  <si>
    <t>carrosserie de bretteville</t>
  </si>
  <si>
    <t>LP MECANIQUE AUTO</t>
  </si>
  <si>
    <t>3629</t>
  </si>
  <si>
    <t>total</t>
  </si>
  <si>
    <t>JANVIER</t>
  </si>
  <si>
    <t xml:space="preserve">FEVRIER </t>
  </si>
  <si>
    <t>MARS</t>
  </si>
  <si>
    <t>AVRIL</t>
  </si>
  <si>
    <t>MAI</t>
  </si>
  <si>
    <t>JUIN</t>
  </si>
  <si>
    <t>JUILLET</t>
  </si>
  <si>
    <t>AOUT</t>
  </si>
  <si>
    <t xml:space="preserve">SEPTEMBRE </t>
  </si>
  <si>
    <t>OCTOBRE</t>
  </si>
  <si>
    <t>NOVEMBRE</t>
  </si>
  <si>
    <t>DECEMBRE</t>
  </si>
  <si>
    <t>PSA</t>
  </si>
  <si>
    <t>GUEUDET</t>
  </si>
  <si>
    <t>FORD</t>
  </si>
  <si>
    <t>DIRECT</t>
  </si>
  <si>
    <t>commentaire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</si>
</sst>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5" formatCode="_-* #,##0\ &quot;€&quot;_-;\-* #,##0\ &quot;€&quot;_-;_-* &quot;-&quot;??\ &quot;€&quot;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2" applyFont="1"/>
    <xf numFmtId="9" fontId="0" fillId="0" borderId="0" xfId="0" applyNumberFormat="1"/>
    <xf numFmtId="165" fontId="0" fillId="0" borderId="0" xfId="1" applyNumberFormat="1" applyFont="1"/>
    <xf numFmtId="165" fontId="0" fillId="0" borderId="0" xfId="0" applyNumberFormat="1"/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36"/>
  <sheetViews>
    <sheetView tabSelected="1" topLeftCell="E424" workbookViewId="0">
      <selection activeCell="A2" sqref="A2:O433"/>
    </sheetView>
  </sheetViews>
  <sheetFormatPr baseColWidth="10" defaultRowHeight="15.5" x14ac:dyDescent="0.35"/>
  <cols>
    <col min="1" max="1" width="30.83203125" customWidth="1"/>
    <col min="2" max="14" width="14.83203125" customWidth="1"/>
    <col min="15" max="15" width="16.83203125" customWidth="1"/>
    <col min="32" max="43" width="10.75" bestFit="1" customWidth="1"/>
    <col min="44" max="44" width="11.25" bestFit="1" customWidth="1"/>
  </cols>
  <sheetData>
    <row r="1" spans="1:45" x14ac:dyDescent="0.35">
      <c r="AF1" s="2">
        <f>C436</f>
        <v>0.10668910590689296</v>
      </c>
      <c r="AG1" s="2">
        <f t="shared" ref="AG1:AR1" si="0">D436</f>
        <v>6.2476955005636145E-2</v>
      </c>
      <c r="AH1" s="2">
        <f t="shared" si="0"/>
        <v>7.7586570167398838E-2</v>
      </c>
      <c r="AI1" s="2">
        <f t="shared" si="0"/>
        <v>6.5587370816345886E-2</v>
      </c>
      <c r="AJ1" s="2">
        <f t="shared" si="0"/>
        <v>5.5250044773131904E-2</v>
      </c>
      <c r="AK1" s="2">
        <f t="shared" si="0"/>
        <v>7.8676927615014269E-2</v>
      </c>
      <c r="AL1" s="2">
        <f t="shared" si="0"/>
        <v>0.11761638380582157</v>
      </c>
      <c r="AM1" s="2">
        <f t="shared" si="0"/>
        <v>4.9297851943153927E-2</v>
      </c>
      <c r="AN1" s="2">
        <f t="shared" si="0"/>
        <v>0.10290709311757951</v>
      </c>
      <c r="AO1" s="2">
        <f t="shared" si="0"/>
        <v>0.10378938718750988</v>
      </c>
      <c r="AP1" s="2">
        <f t="shared" si="0"/>
        <v>0.10519842398575688</v>
      </c>
      <c r="AQ1" s="2">
        <f t="shared" si="0"/>
        <v>7.4923885675758251E-2</v>
      </c>
      <c r="AR1" s="2">
        <f t="shared" si="0"/>
        <v>1</v>
      </c>
    </row>
    <row r="2" spans="1:4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Q2" t="s">
        <v>2</v>
      </c>
      <c r="R2" t="s">
        <v>3</v>
      </c>
      <c r="S2" t="s">
        <v>4</v>
      </c>
      <c r="T2" t="s">
        <v>5</v>
      </c>
      <c r="U2" t="s">
        <v>6</v>
      </c>
      <c r="V2" t="s">
        <v>7</v>
      </c>
      <c r="W2" t="s">
        <v>8</v>
      </c>
      <c r="X2" t="s">
        <v>9</v>
      </c>
      <c r="Y2" t="s">
        <v>10</v>
      </c>
      <c r="Z2" t="s">
        <v>11</v>
      </c>
      <c r="AA2" t="s">
        <v>12</v>
      </c>
      <c r="AB2" t="s">
        <v>13</v>
      </c>
      <c r="AC2" t="s">
        <v>840</v>
      </c>
      <c r="AD2" t="s">
        <v>0</v>
      </c>
      <c r="AE2" t="s">
        <v>1</v>
      </c>
      <c r="AF2" t="s">
        <v>2</v>
      </c>
      <c r="AG2" t="s">
        <v>3</v>
      </c>
      <c r="AH2" t="s">
        <v>4</v>
      </c>
      <c r="AI2" t="s">
        <v>5</v>
      </c>
      <c r="AJ2" t="s">
        <v>6</v>
      </c>
      <c r="AK2" t="s">
        <v>7</v>
      </c>
      <c r="AL2" t="s">
        <v>8</v>
      </c>
      <c r="AM2" t="s">
        <v>9</v>
      </c>
      <c r="AN2" t="s">
        <v>10</v>
      </c>
      <c r="AO2" t="s">
        <v>11</v>
      </c>
      <c r="AP2" t="s">
        <v>12</v>
      </c>
      <c r="AQ2" t="s">
        <v>13</v>
      </c>
      <c r="AR2" t="s">
        <v>840</v>
      </c>
      <c r="AS2" t="s">
        <v>857</v>
      </c>
    </row>
    <row r="3" spans="1:45" x14ac:dyDescent="0.35">
      <c r="A3" t="s">
        <v>15</v>
      </c>
      <c r="B3" t="s">
        <v>16</v>
      </c>
      <c r="C3">
        <v>1209</v>
      </c>
      <c r="D3">
        <v>835</v>
      </c>
      <c r="E3">
        <v>2043</v>
      </c>
      <c r="F3">
        <v>1162</v>
      </c>
      <c r="G3">
        <v>1630</v>
      </c>
      <c r="H3">
        <v>1318</v>
      </c>
      <c r="I3">
        <v>1865</v>
      </c>
      <c r="J3">
        <v>1786</v>
      </c>
      <c r="K3">
        <v>2034</v>
      </c>
      <c r="L3">
        <v>2193</v>
      </c>
      <c r="M3">
        <v>1859</v>
      </c>
      <c r="N3">
        <v>1800</v>
      </c>
      <c r="O3">
        <v>19734</v>
      </c>
      <c r="Q3" s="1">
        <f>C3/C$434</f>
        <v>2.9845219580833887E-2</v>
      </c>
      <c r="R3" s="1">
        <f>D3/D$434</f>
        <v>3.5199392968552401E-2</v>
      </c>
      <c r="S3" s="1">
        <f t="shared" ref="S3:Y18" si="1">E3/E$434</f>
        <v>6.935062289962321E-2</v>
      </c>
      <c r="T3" s="1">
        <f t="shared" si="1"/>
        <v>4.6661044854033648E-2</v>
      </c>
      <c r="U3" s="1">
        <f t="shared" si="1"/>
        <v>7.7700448088473636E-2</v>
      </c>
      <c r="V3" s="1">
        <f t="shared" si="1"/>
        <v>4.4120108459143707E-2</v>
      </c>
      <c r="W3" s="1">
        <f t="shared" si="1"/>
        <v>4.1761834385776346E-2</v>
      </c>
      <c r="X3" s="1">
        <f t="shared" si="1"/>
        <v>9.5416176941980985E-2</v>
      </c>
      <c r="Y3" s="1">
        <f t="shared" si="1"/>
        <v>5.2056407237734498E-2</v>
      </c>
      <c r="Z3" s="1">
        <f>L3/L$434</f>
        <v>5.5648599269183925E-2</v>
      </c>
      <c r="AA3" s="1">
        <f t="shared" ref="AA3:AA66" si="2">M3/M$434</f>
        <v>4.6541321382970735E-2</v>
      </c>
      <c r="AB3" s="1">
        <f t="shared" ref="AB3:AB66" si="3">N3/N$434</f>
        <v>6.3273340832395955E-2</v>
      </c>
      <c r="AC3" s="1">
        <f t="shared" ref="AC3:AC66" si="4">O3/O$434</f>
        <v>5.1973705003002434E-2</v>
      </c>
      <c r="AD3" s="1" t="str">
        <f>A3</f>
        <v>MDPV - PREPACAR</v>
      </c>
      <c r="AE3" s="1" t="str">
        <f>B3</f>
        <v>3000</v>
      </c>
      <c r="AF3" s="3">
        <f>Q3*Feuil2!$B$3</f>
        <v>1055.7722550544322</v>
      </c>
      <c r="AG3" s="3">
        <f>R3*Feuil2!$C$3</f>
        <v>1245.1757103111036</v>
      </c>
      <c r="AH3" s="3">
        <f>S3*Feuil2!$D$3</f>
        <v>2725.3269085848133</v>
      </c>
      <c r="AI3" s="3">
        <f>T3*Feuil2!$E$2</f>
        <v>1748.9959442637432</v>
      </c>
      <c r="AJ3" s="3">
        <f>U3*Feuil2!$F$3</f>
        <v>1985.1221279435599</v>
      </c>
      <c r="AK3" s="3">
        <f>V3*Feuil2!$G$3</f>
        <v>1777.4985759716133</v>
      </c>
      <c r="AL3" s="3">
        <f>W3*Feuil2!$H$3</f>
        <v>1518.3550584441759</v>
      </c>
      <c r="AM3" s="3">
        <f>X3*Feuil2!$I$2</f>
        <v>2038.2803718345979</v>
      </c>
      <c r="AN3" s="3">
        <f>Y3*Feuil2!$J$3</f>
        <v>2199.5310459908378</v>
      </c>
      <c r="AO3" s="3">
        <f>Z3*Feuil2!$K$3</f>
        <v>2241.9551857490865</v>
      </c>
      <c r="AP3" s="3">
        <f>AA3*Feuil2!$L$3</f>
        <v>1692.1251613549309</v>
      </c>
      <c r="AQ3" s="3">
        <f>AB3*Feuil2!$M$3</f>
        <v>2113.9496625421825</v>
      </c>
      <c r="AR3" s="3">
        <f>AC3*Feuil2!$N$3</f>
        <v>21760.687600265479</v>
      </c>
    </row>
    <row r="4" spans="1:45" x14ac:dyDescent="0.35">
      <c r="A4" t="s">
        <v>17</v>
      </c>
      <c r="B4" t="s">
        <v>18</v>
      </c>
      <c r="C4">
        <v>1366</v>
      </c>
      <c r="D4">
        <v>1350</v>
      </c>
      <c r="E4">
        <v>753</v>
      </c>
      <c r="F4">
        <v>1102</v>
      </c>
      <c r="G4">
        <v>891</v>
      </c>
      <c r="H4">
        <v>1385</v>
      </c>
      <c r="I4">
        <v>1374</v>
      </c>
      <c r="J4">
        <v>1056</v>
      </c>
      <c r="K4">
        <v>945</v>
      </c>
      <c r="L4">
        <v>1311</v>
      </c>
      <c r="M4">
        <v>881</v>
      </c>
      <c r="N4">
        <v>881</v>
      </c>
      <c r="O4">
        <v>13295</v>
      </c>
      <c r="Q4" s="1">
        <f>C4/$C$434</f>
        <v>3.3720901528055493E-2</v>
      </c>
      <c r="R4" s="1">
        <f t="shared" ref="R4:R67" si="5">D4/D$434</f>
        <v>5.6909198212629623E-2</v>
      </c>
      <c r="S4" s="1">
        <f t="shared" si="1"/>
        <v>2.5560949115720155E-2</v>
      </c>
      <c r="T4" s="1">
        <f t="shared" si="1"/>
        <v>4.4251696582741036E-2</v>
      </c>
      <c r="U4" s="1">
        <f t="shared" si="1"/>
        <v>4.2473067022595103E-2</v>
      </c>
      <c r="V4" s="1">
        <f t="shared" si="1"/>
        <v>4.6362936430890768E-2</v>
      </c>
      <c r="W4" s="1">
        <f t="shared" si="1"/>
        <v>3.0767163778046485E-2</v>
      </c>
      <c r="X4" s="1">
        <f t="shared" si="1"/>
        <v>5.6416283791003309E-2</v>
      </c>
      <c r="Y4" s="1">
        <f t="shared" si="1"/>
        <v>2.4185498937885495E-2</v>
      </c>
      <c r="Z4" s="1">
        <f t="shared" ref="Z4:Z67" si="6">L4/L$434</f>
        <v>3.3267356881851402E-2</v>
      </c>
      <c r="AA4" s="1">
        <f t="shared" si="2"/>
        <v>2.2056430413339007E-2</v>
      </c>
      <c r="AB4" s="1">
        <f t="shared" si="3"/>
        <v>3.0968785151856019E-2</v>
      </c>
      <c r="AC4" s="1">
        <f t="shared" si="4"/>
        <v>3.5015222864848351E-2</v>
      </c>
      <c r="AD4" s="1" t="str">
        <f t="shared" ref="AD4:AD67" si="7">A4</f>
        <v>MARY AUTOMOBILES DEAUVILLE</v>
      </c>
      <c r="AE4" s="1" t="str">
        <f t="shared" ref="AE4:AE67" si="8">B4</f>
        <v>5002</v>
      </c>
      <c r="AF4" s="3">
        <f>Q4*Feuil2!$B$3</f>
        <v>1192.8741938828407</v>
      </c>
      <c r="AG4" s="3">
        <f>R4*Feuil2!$C$3</f>
        <v>2013.1583340359159</v>
      </c>
      <c r="AH4" s="3">
        <f>S4*Feuil2!$D$3</f>
        <v>1004.4890661597476</v>
      </c>
      <c r="AI4" s="3">
        <f>T4*Feuil2!$E$2</f>
        <v>1658.6863430108822</v>
      </c>
      <c r="AJ4" s="3">
        <f>U4*Feuil2!$F$3</f>
        <v>1085.1189055200689</v>
      </c>
      <c r="AK4" s="3">
        <f>V4*Feuil2!$G$3</f>
        <v>1867.8570013055266</v>
      </c>
      <c r="AL4" s="3">
        <f>W4*Feuil2!$H$3</f>
        <v>1118.6165417170496</v>
      </c>
      <c r="AM4" s="3">
        <f>X4*Feuil2!$I$2</f>
        <v>1205.1646543434126</v>
      </c>
      <c r="AN4" s="3">
        <f>Y4*Feuil2!$J$3</f>
        <v>1021.9060169426458</v>
      </c>
      <c r="AO4" s="3">
        <f>Z4*Feuil2!$K$3</f>
        <v>1340.2659591961024</v>
      </c>
      <c r="AP4" s="3">
        <f>AA4*Feuil2!$L$3</f>
        <v>801.91622762436475</v>
      </c>
      <c r="AQ4" s="3">
        <f>AB4*Feuil2!$M$3</f>
        <v>1034.6609181664794</v>
      </c>
      <c r="AR4" s="3">
        <f>AC4*Feuil2!$N$3</f>
        <v>14660.400407698873</v>
      </c>
    </row>
    <row r="5" spans="1:45" x14ac:dyDescent="0.35">
      <c r="A5" t="s">
        <v>19</v>
      </c>
      <c r="B5" t="s">
        <v>20</v>
      </c>
      <c r="C5">
        <v>798</v>
      </c>
      <c r="D5">
        <v>793</v>
      </c>
      <c r="E5">
        <v>973</v>
      </c>
      <c r="F5">
        <v>932</v>
      </c>
      <c r="G5">
        <v>982</v>
      </c>
      <c r="H5">
        <v>1103</v>
      </c>
      <c r="I5">
        <v>888</v>
      </c>
      <c r="J5">
        <v>997</v>
      </c>
      <c r="K5">
        <v>755</v>
      </c>
      <c r="L5">
        <v>1098</v>
      </c>
      <c r="M5">
        <v>826</v>
      </c>
      <c r="N5">
        <v>826</v>
      </c>
      <c r="O5">
        <v>10971</v>
      </c>
      <c r="Q5" s="1">
        <f>C5/$C$434</f>
        <v>1.9699326075686883E-2</v>
      </c>
      <c r="R5" s="1">
        <f t="shared" si="5"/>
        <v>3.3428884579715032E-2</v>
      </c>
      <c r="S5" s="1">
        <f t="shared" si="1"/>
        <v>3.3028955497471063E-2</v>
      </c>
      <c r="T5" s="1">
        <f t="shared" si="1"/>
        <v>3.7425209814078625E-2</v>
      </c>
      <c r="U5" s="1">
        <f t="shared" si="1"/>
        <v>4.6810944799313567E-2</v>
      </c>
      <c r="V5" s="1">
        <f t="shared" si="1"/>
        <v>3.6922973922940451E-2</v>
      </c>
      <c r="W5" s="1">
        <f t="shared" si="1"/>
        <v>1.9884455192798602E-2</v>
      </c>
      <c r="X5" s="1">
        <f t="shared" si="1"/>
        <v>5.3264237632225667E-2</v>
      </c>
      <c r="Y5" s="1">
        <f t="shared" si="1"/>
        <v>1.9322806029739206E-2</v>
      </c>
      <c r="Z5" s="1">
        <f t="shared" si="6"/>
        <v>2.7862362971985383E-2</v>
      </c>
      <c r="AA5" s="1">
        <f t="shared" si="2"/>
        <v>2.0679468242245199E-2</v>
      </c>
      <c r="AB5" s="1">
        <f t="shared" si="3"/>
        <v>2.9035433070866142E-2</v>
      </c>
      <c r="AC5" s="1">
        <f t="shared" si="4"/>
        <v>2.8894472361809045E-2</v>
      </c>
      <c r="AD5" s="1" t="str">
        <f t="shared" si="7"/>
        <v>MARY AUTOMOBILES ST DESIR</v>
      </c>
      <c r="AE5" s="1" t="str">
        <f t="shared" si="8"/>
        <v>5004</v>
      </c>
      <c r="AF5" s="3">
        <f>Q5*Feuil2!$B$3</f>
        <v>696.86208398133738</v>
      </c>
      <c r="AG5" s="3">
        <f>R5*Feuil2!$C$3</f>
        <v>1182.5441176966528</v>
      </c>
      <c r="AH5" s="3">
        <f>S5*Feuil2!$D$3</f>
        <v>1297.9652873485184</v>
      </c>
      <c r="AI5" s="3">
        <f>T5*Feuil2!$E$2</f>
        <v>1402.809139461109</v>
      </c>
      <c r="AJ5" s="3">
        <f>U5*Feuil2!$F$3</f>
        <v>1195.9447421107827</v>
      </c>
      <c r="AK5" s="3">
        <f>V5*Feuil2!$G$3</f>
        <v>1487.5424349747266</v>
      </c>
      <c r="AL5" s="3">
        <f>W5*Feuil2!$H$3</f>
        <v>722.94868198307142</v>
      </c>
      <c r="AM5" s="3">
        <f>X5*Feuil2!$I$2</f>
        <v>1137.8306442996047</v>
      </c>
      <c r="AN5" s="3">
        <f>Y5*Feuil2!$J$3</f>
        <v>816.443431525606</v>
      </c>
      <c r="AO5" s="3">
        <f>Z5*Feuil2!$K$3</f>
        <v>1122.5110779537149</v>
      </c>
      <c r="AP5" s="3">
        <f>AA5*Feuil2!$L$3</f>
        <v>751.85335302806504</v>
      </c>
      <c r="AQ5" s="3">
        <f>AB5*Feuil2!$M$3</f>
        <v>970.06801181102367</v>
      </c>
      <c r="AR5" s="3">
        <f>AC5*Feuil2!$N$3</f>
        <v>12097.724924623117</v>
      </c>
    </row>
    <row r="6" spans="1:45" x14ac:dyDescent="0.35">
      <c r="A6" t="s">
        <v>21</v>
      </c>
      <c r="B6" t="s">
        <v>22</v>
      </c>
      <c r="C6">
        <v>1016</v>
      </c>
      <c r="D6">
        <v>780</v>
      </c>
      <c r="E6">
        <v>857</v>
      </c>
      <c r="F6">
        <v>570</v>
      </c>
      <c r="G6">
        <v>493</v>
      </c>
      <c r="H6">
        <v>894</v>
      </c>
      <c r="I6">
        <v>1017</v>
      </c>
      <c r="J6">
        <v>1652</v>
      </c>
      <c r="K6">
        <v>940</v>
      </c>
      <c r="L6">
        <v>1054</v>
      </c>
      <c r="M6">
        <v>638</v>
      </c>
      <c r="N6">
        <v>638</v>
      </c>
      <c r="O6">
        <v>10549</v>
      </c>
      <c r="Q6" s="1">
        <f>C6/$C$434</f>
        <v>2.5080846231701596E-2</v>
      </c>
      <c r="R6" s="1">
        <f t="shared" si="5"/>
        <v>3.2880870078408231E-2</v>
      </c>
      <c r="S6" s="1">
        <f t="shared" si="1"/>
        <v>2.9091279405275127E-2</v>
      </c>
      <c r="T6" s="1">
        <f t="shared" si="1"/>
        <v>2.2888808577279846E-2</v>
      </c>
      <c r="U6" s="1">
        <f t="shared" si="1"/>
        <v>2.3500810372771474E-2</v>
      </c>
      <c r="V6" s="1">
        <f t="shared" si="1"/>
        <v>2.992668965286379E-2</v>
      </c>
      <c r="W6" s="1">
        <f t="shared" si="1"/>
        <v>2.2773075372833535E-2</v>
      </c>
      <c r="X6" s="1">
        <f t="shared" si="1"/>
        <v>8.8257292445774127E-2</v>
      </c>
      <c r="Y6" s="1">
        <f t="shared" si="1"/>
        <v>2.405753333503954E-2</v>
      </c>
      <c r="Z6" s="1">
        <f t="shared" si="6"/>
        <v>2.6745838408444987E-2</v>
      </c>
      <c r="AA6" s="1">
        <f t="shared" si="2"/>
        <v>1.597276118468818E-2</v>
      </c>
      <c r="AB6" s="1">
        <f t="shared" si="3"/>
        <v>2.2426884139482565E-2</v>
      </c>
      <c r="AC6" s="1">
        <f t="shared" si="4"/>
        <v>2.7783045205060943E-2</v>
      </c>
      <c r="AD6" s="1" t="str">
        <f t="shared" si="7"/>
        <v>MARY AUTOMOBILES COMMERCES ET</v>
      </c>
      <c r="AE6" s="1" t="str">
        <f t="shared" si="8"/>
        <v>5010</v>
      </c>
      <c r="AF6" s="3">
        <f>Q6*Feuil2!$B$3</f>
        <v>887.23292897874535</v>
      </c>
      <c r="AG6" s="3">
        <f>R6*Feuil2!$C$3</f>
        <v>1163.1581485540848</v>
      </c>
      <c r="AH6" s="3">
        <f>S6*Feuil2!$D$3</f>
        <v>1143.2232798126211</v>
      </c>
      <c r="AI6" s="3">
        <f>T6*Feuil2!$E$2</f>
        <v>857.9412119021805</v>
      </c>
      <c r="AJ6" s="3">
        <f>U6*Feuil2!$F$3</f>
        <v>600.40810372771477</v>
      </c>
      <c r="AK6" s="3">
        <f>V6*Feuil2!$G$3</f>
        <v>1205.6780932614736</v>
      </c>
      <c r="AL6" s="3">
        <f>W6*Feuil2!$H$3</f>
        <v>827.97163240628788</v>
      </c>
      <c r="AM6" s="3">
        <f>X6*Feuil2!$I$2</f>
        <v>1885.3522812266269</v>
      </c>
      <c r="AN6" s="3">
        <f>Y6*Feuil2!$J$3</f>
        <v>1016.4991068000921</v>
      </c>
      <c r="AO6" s="3">
        <f>Z6*Feuil2!$K$3</f>
        <v>1077.5288489646773</v>
      </c>
      <c r="AP6" s="3">
        <f>AA6*Feuil2!$L$3</f>
        <v>580.72934531707688</v>
      </c>
      <c r="AQ6" s="3">
        <f>AB6*Feuil2!$M$3</f>
        <v>749.27771372328471</v>
      </c>
      <c r="AR6" s="3">
        <f>AC6*Feuil2!$N$3</f>
        <v>11632.385400587846</v>
      </c>
    </row>
    <row r="7" spans="1:45" x14ac:dyDescent="0.35">
      <c r="A7" t="s">
        <v>23</v>
      </c>
      <c r="B7" t="s">
        <v>24</v>
      </c>
      <c r="C7">
        <v>0</v>
      </c>
      <c r="D7">
        <v>0</v>
      </c>
      <c r="E7">
        <v>0</v>
      </c>
      <c r="F7">
        <v>0</v>
      </c>
      <c r="G7">
        <v>0</v>
      </c>
      <c r="H7">
        <v>849</v>
      </c>
      <c r="I7">
        <v>1762</v>
      </c>
      <c r="J7">
        <v>146</v>
      </c>
      <c r="K7">
        <v>2782</v>
      </c>
      <c r="L7">
        <v>1430</v>
      </c>
      <c r="M7">
        <v>1647</v>
      </c>
      <c r="N7">
        <v>1647</v>
      </c>
      <c r="O7">
        <v>10263</v>
      </c>
      <c r="Q7" s="1">
        <f>C7/$C$434</f>
        <v>0</v>
      </c>
      <c r="R7" s="1">
        <f t="shared" si="5"/>
        <v>0</v>
      </c>
      <c r="S7" s="1">
        <f t="shared" si="1"/>
        <v>0</v>
      </c>
      <c r="T7" s="1">
        <f t="shared" si="1"/>
        <v>0</v>
      </c>
      <c r="U7" s="1">
        <f t="shared" si="1"/>
        <v>0</v>
      </c>
      <c r="V7" s="1">
        <f t="shared" si="1"/>
        <v>2.8420312656914269E-2</v>
      </c>
      <c r="W7" s="1">
        <f t="shared" si="1"/>
        <v>3.9455416722647678E-2</v>
      </c>
      <c r="X7" s="1">
        <f t="shared" si="1"/>
        <v>7.7999786301955337E-3</v>
      </c>
      <c r="Y7" s="1">
        <f t="shared" si="1"/>
        <v>7.1200061423489364E-2</v>
      </c>
      <c r="Z7" s="1">
        <f t="shared" si="6"/>
        <v>3.6287048315062929E-2</v>
      </c>
      <c r="AA7" s="1">
        <f t="shared" si="2"/>
        <v>4.1233758105300056E-2</v>
      </c>
      <c r="AB7" s="1">
        <f t="shared" si="3"/>
        <v>5.7895106861642294E-2</v>
      </c>
      <c r="AC7" s="1">
        <f t="shared" si="4"/>
        <v>2.7029803103568156E-2</v>
      </c>
      <c r="AD7" s="1" t="str">
        <f t="shared" si="7"/>
        <v>JFC By Mary Automobiles - CAEN</v>
      </c>
      <c r="AE7" s="1" t="str">
        <f t="shared" si="8"/>
        <v>3290</v>
      </c>
      <c r="AF7" s="3">
        <f>Q7*Feuil2!$B$3</f>
        <v>0</v>
      </c>
      <c r="AG7" s="3">
        <f>R7*Feuil2!$C$3</f>
        <v>0</v>
      </c>
      <c r="AH7" s="3">
        <f>S7*Feuil2!$D$3</f>
        <v>0</v>
      </c>
      <c r="AI7" s="3">
        <f>T7*Feuil2!$E$2</f>
        <v>0</v>
      </c>
      <c r="AJ7" s="3">
        <f>U7*Feuil2!$F$3</f>
        <v>0</v>
      </c>
      <c r="AK7" s="3">
        <f>V7*Feuil2!$G$3</f>
        <v>1144.9895986342183</v>
      </c>
      <c r="AL7" s="3">
        <f>W7*Feuil2!$H$3</f>
        <v>1434.4995243853286</v>
      </c>
      <c r="AM7" s="3">
        <f>X7*Feuil2!$I$2</f>
        <v>166.623143498237</v>
      </c>
      <c r="AN7" s="3">
        <f>Y7*Feuil2!$J$3</f>
        <v>3008.4048033168688</v>
      </c>
      <c r="AO7" s="3">
        <f>Z7*Feuil2!$K$3</f>
        <v>1461.922442143727</v>
      </c>
      <c r="AP7" s="3">
        <f>AA7*Feuil2!$L$3</f>
        <v>1499.1555356382848</v>
      </c>
      <c r="AQ7" s="3">
        <f>AB7*Feuil2!$M$3</f>
        <v>1934.2639412260969</v>
      </c>
      <c r="AR7" s="3">
        <f>AC7*Feuil2!$N$3</f>
        <v>11317.013116526028</v>
      </c>
    </row>
    <row r="8" spans="1:45" x14ac:dyDescent="0.35">
      <c r="A8" t="s">
        <v>25</v>
      </c>
      <c r="B8" t="s">
        <v>26</v>
      </c>
      <c r="C8">
        <v>904</v>
      </c>
      <c r="D8">
        <v>566</v>
      </c>
      <c r="E8">
        <v>565</v>
      </c>
      <c r="F8">
        <v>781</v>
      </c>
      <c r="G8">
        <v>389</v>
      </c>
      <c r="H8">
        <v>603</v>
      </c>
      <c r="I8">
        <v>863</v>
      </c>
      <c r="J8">
        <v>443</v>
      </c>
      <c r="K8">
        <v>561</v>
      </c>
      <c r="L8">
        <v>727</v>
      </c>
      <c r="M8">
        <v>444</v>
      </c>
      <c r="N8">
        <v>444</v>
      </c>
      <c r="O8">
        <v>7290</v>
      </c>
      <c r="Q8" s="1">
        <f>C8/$C$434</f>
        <v>2.231602853686835E-2</v>
      </c>
      <c r="R8" s="1">
        <f t="shared" si="5"/>
        <v>2.3859708287665458E-2</v>
      </c>
      <c r="S8" s="1">
        <f t="shared" si="1"/>
        <v>1.917919820767847E-2</v>
      </c>
      <c r="T8" s="1">
        <f t="shared" si="1"/>
        <v>3.1361683331325545E-2</v>
      </c>
      <c r="U8" s="1">
        <f t="shared" si="1"/>
        <v>1.8543235770807513E-2</v>
      </c>
      <c r="V8" s="1">
        <f t="shared" si="1"/>
        <v>2.0185451745723563E-2</v>
      </c>
      <c r="W8" s="1">
        <f t="shared" si="1"/>
        <v>1.9324645080388732E-2</v>
      </c>
      <c r="X8" s="1">
        <f t="shared" si="1"/>
        <v>2.3667058446415215E-2</v>
      </c>
      <c r="Y8" s="1">
        <f t="shared" si="1"/>
        <v>1.4357740639316151E-2</v>
      </c>
      <c r="Z8" s="1">
        <f t="shared" si="6"/>
        <v>1.8448030856678847E-2</v>
      </c>
      <c r="AA8" s="1">
        <f t="shared" si="2"/>
        <v>1.1115840072102746E-2</v>
      </c>
      <c r="AB8" s="1">
        <f t="shared" si="3"/>
        <v>1.5607424071991002E-2</v>
      </c>
      <c r="AC8" s="1">
        <f t="shared" si="4"/>
        <v>1.9199772447141366E-2</v>
      </c>
      <c r="AD8" s="1" t="str">
        <f t="shared" si="7"/>
        <v>VARON MICHEL</v>
      </c>
      <c r="AE8" s="1" t="str">
        <f t="shared" si="8"/>
        <v>3377</v>
      </c>
      <c r="AF8" s="3">
        <f>Q8*Feuil2!$B$3</f>
        <v>789.42772420943493</v>
      </c>
      <c r="AG8" s="3">
        <f>R8*Feuil2!$C$3</f>
        <v>844.0352718995025</v>
      </c>
      <c r="AH8" s="3">
        <f>S8*Feuil2!$D$3</f>
        <v>753.70029532570697</v>
      </c>
      <c r="AI8" s="3">
        <f>T8*Feuil2!$E$2</f>
        <v>1175.5299763080754</v>
      </c>
      <c r="AJ8" s="3">
        <f>U8*Feuil2!$F$3</f>
        <v>473.75000476689871</v>
      </c>
      <c r="AK8" s="3">
        <f>V8*Feuil2!$G$3</f>
        <v>813.22582800522207</v>
      </c>
      <c r="AL8" s="3">
        <f>W8*Feuil2!$H$3</f>
        <v>702.59539701733172</v>
      </c>
      <c r="AM8" s="3">
        <f>X8*Feuil2!$I$2</f>
        <v>505.57570253232183</v>
      </c>
      <c r="AN8" s="3">
        <f>Y8*Feuil2!$J$3</f>
        <v>606.6553179945231</v>
      </c>
      <c r="AO8" s="3">
        <f>Z8*Feuil2!$K$3</f>
        <v>743.22910170523755</v>
      </c>
      <c r="AP8" s="3">
        <f>AA8*Feuil2!$L$3</f>
        <v>404.14393310467415</v>
      </c>
      <c r="AQ8" s="3">
        <f>AB8*Feuil2!$M$3</f>
        <v>521.440916760405</v>
      </c>
      <c r="AR8" s="3">
        <f>AC8*Feuil2!$N$3</f>
        <v>8038.685142694605</v>
      </c>
    </row>
    <row r="9" spans="1:45" x14ac:dyDescent="0.35">
      <c r="A9" t="s">
        <v>27</v>
      </c>
      <c r="B9" t="s">
        <v>24</v>
      </c>
      <c r="C9">
        <v>3445</v>
      </c>
      <c r="D9">
        <v>262</v>
      </c>
      <c r="E9">
        <v>1928</v>
      </c>
      <c r="F9">
        <v>326</v>
      </c>
      <c r="G9">
        <v>589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6550</v>
      </c>
      <c r="Q9" s="1">
        <f>C9/$C$434</f>
        <v>8.5042829988397642E-2</v>
      </c>
      <c r="R9" s="1">
        <f t="shared" si="5"/>
        <v>1.1044599949414046E-2</v>
      </c>
      <c r="S9" s="1">
        <f t="shared" si="1"/>
        <v>6.544689229098069E-2</v>
      </c>
      <c r="T9" s="1">
        <f t="shared" si="1"/>
        <v>1.3090792274023211E-2</v>
      </c>
      <c r="U9" s="1">
        <f t="shared" si="1"/>
        <v>2.8077033082276669E-2</v>
      </c>
      <c r="V9" s="1">
        <f t="shared" si="1"/>
        <v>0</v>
      </c>
      <c r="W9" s="1">
        <f t="shared" si="1"/>
        <v>0</v>
      </c>
      <c r="X9" s="1">
        <f t="shared" si="1"/>
        <v>0</v>
      </c>
      <c r="Y9" s="1">
        <f t="shared" si="1"/>
        <v>0</v>
      </c>
      <c r="Z9" s="1">
        <f t="shared" si="6"/>
        <v>0</v>
      </c>
      <c r="AA9" s="1">
        <f t="shared" si="2"/>
        <v>0</v>
      </c>
      <c r="AB9" s="1">
        <f t="shared" si="3"/>
        <v>0</v>
      </c>
      <c r="AC9" s="1">
        <f t="shared" si="4"/>
        <v>1.7250824352369815E-2</v>
      </c>
      <c r="AD9" s="1" t="str">
        <f t="shared" si="7"/>
        <v>JFC CAEN</v>
      </c>
      <c r="AE9" s="1" t="str">
        <f t="shared" si="8"/>
        <v>3290</v>
      </c>
      <c r="AF9" s="3">
        <f>Q9*Feuil2!$B$3</f>
        <v>3008.3833074131676</v>
      </c>
      <c r="AG9" s="3">
        <f>R9*Feuil2!$C$3</f>
        <v>390.7018396425259</v>
      </c>
      <c r="AH9" s="3">
        <f>S9*Feuil2!$D$3</f>
        <v>2571.9188838725013</v>
      </c>
      <c r="AI9" s="3">
        <f>T9*Feuil2!$E$2</f>
        <v>490.68216680721201</v>
      </c>
      <c r="AJ9" s="3">
        <f>U9*Feuil2!$F$3</f>
        <v>717.32327199923725</v>
      </c>
      <c r="AK9" s="3">
        <f>V9*Feuil2!$G$3</f>
        <v>0</v>
      </c>
      <c r="AL9" s="3">
        <f>W9*Feuil2!$H$3</f>
        <v>0</v>
      </c>
      <c r="AM9" s="3">
        <f>X9*Feuil2!$I$2</f>
        <v>0</v>
      </c>
      <c r="AN9" s="3">
        <f>Y9*Feuil2!$J$3</f>
        <v>0</v>
      </c>
      <c r="AO9" s="3">
        <f>Z9*Feuil2!$K$3</f>
        <v>0</v>
      </c>
      <c r="AP9" s="3">
        <f>AA9*Feuil2!$L$3</f>
        <v>0</v>
      </c>
      <c r="AQ9" s="3">
        <f>AB9*Feuil2!$M$3</f>
        <v>0</v>
      </c>
      <c r="AR9" s="3">
        <f>AC9*Feuil2!$N$3</f>
        <v>7222.6869251919979</v>
      </c>
    </row>
    <row r="10" spans="1:45" x14ac:dyDescent="0.35">
      <c r="A10" t="s">
        <v>28</v>
      </c>
      <c r="B10" t="s">
        <v>29</v>
      </c>
      <c r="C10">
        <v>715</v>
      </c>
      <c r="D10">
        <v>280</v>
      </c>
      <c r="E10">
        <v>587</v>
      </c>
      <c r="F10">
        <v>743</v>
      </c>
      <c r="G10">
        <v>394</v>
      </c>
      <c r="H10">
        <v>619</v>
      </c>
      <c r="I10">
        <v>315</v>
      </c>
      <c r="J10">
        <v>763</v>
      </c>
      <c r="K10">
        <v>422</v>
      </c>
      <c r="L10">
        <v>916</v>
      </c>
      <c r="M10">
        <v>694</v>
      </c>
      <c r="N10">
        <v>694</v>
      </c>
      <c r="O10">
        <v>7142</v>
      </c>
      <c r="Q10" s="1">
        <f>C10/$C$434</f>
        <v>1.7650398676837247E-2</v>
      </c>
      <c r="R10" s="1">
        <f t="shared" si="5"/>
        <v>1.1803389258915775E-2</v>
      </c>
      <c r="S10" s="1">
        <f t="shared" si="1"/>
        <v>1.9925998845853558E-2</v>
      </c>
      <c r="T10" s="1">
        <f t="shared" si="1"/>
        <v>2.9835762759506886E-2</v>
      </c>
      <c r="U10" s="1">
        <f t="shared" si="1"/>
        <v>1.8781580703594241E-2</v>
      </c>
      <c r="V10" s="1">
        <f t="shared" si="1"/>
        <v>2.0721052455394504E-2</v>
      </c>
      <c r="W10" s="1">
        <f t="shared" si="1"/>
        <v>7.0536074163643691E-3</v>
      </c>
      <c r="X10" s="1">
        <f t="shared" si="1"/>
        <v>4.0762902019446524E-2</v>
      </c>
      <c r="Y10" s="1">
        <f t="shared" si="1"/>
        <v>1.0800296880198602E-2</v>
      </c>
      <c r="Z10" s="1">
        <f t="shared" si="6"/>
        <v>2.3244011368250102E-2</v>
      </c>
      <c r="AA10" s="1">
        <f t="shared" si="2"/>
        <v>1.7374759031620057E-2</v>
      </c>
      <c r="AB10" s="1">
        <f t="shared" si="3"/>
        <v>2.4395388076490439E-2</v>
      </c>
      <c r="AC10" s="1">
        <f t="shared" si="4"/>
        <v>1.8809982828187057E-2</v>
      </c>
      <c r="AD10" s="1" t="str">
        <f t="shared" si="7"/>
        <v>MARY AUTOMOBILES CAEN</v>
      </c>
      <c r="AE10" s="1" t="str">
        <f t="shared" si="8"/>
        <v>3001</v>
      </c>
      <c r="AF10" s="3">
        <f>Q10*Feuil2!$B$3</f>
        <v>624.38144116122339</v>
      </c>
      <c r="AG10" s="3">
        <f>R10*Feuil2!$C$3</f>
        <v>417.54395076300483</v>
      </c>
      <c r="AH10" s="3">
        <f>S10*Feuil2!$D$3</f>
        <v>783.04791744458396</v>
      </c>
      <c r="AI10" s="3">
        <f>T10*Feuil2!$E$2</f>
        <v>1118.3338955145966</v>
      </c>
      <c r="AJ10" s="3">
        <f>U10*Feuil2!$F$3</f>
        <v>479.83933644770713</v>
      </c>
      <c r="AK10" s="3">
        <f>V10*Feuil2!$G$3</f>
        <v>834.80395942824623</v>
      </c>
      <c r="AL10" s="3">
        <f>W10*Feuil2!$H$3</f>
        <v>256.45139056831925</v>
      </c>
      <c r="AM10" s="3">
        <f>X10*Feuil2!$I$2</f>
        <v>870.77711293941661</v>
      </c>
      <c r="AN10" s="3">
        <f>Y10*Feuil2!$J$3</f>
        <v>456.34321603153074</v>
      </c>
      <c r="AO10" s="3">
        <f>Z10*Feuil2!$K$3</f>
        <v>936.44822168087705</v>
      </c>
      <c r="AP10" s="3">
        <f>AA10*Feuil2!$L$3</f>
        <v>631.70245399694568</v>
      </c>
      <c r="AQ10" s="3">
        <f>AB10*Feuil2!$M$3</f>
        <v>815.0450365579303</v>
      </c>
      <c r="AR10" s="3">
        <f>AC10*Feuil2!$N$3</f>
        <v>7875.4854991940838</v>
      </c>
    </row>
    <row r="11" spans="1:45" x14ac:dyDescent="0.35">
      <c r="A11" t="s">
        <v>30</v>
      </c>
      <c r="B11" t="s">
        <v>31</v>
      </c>
      <c r="C11">
        <v>780</v>
      </c>
      <c r="D11">
        <v>398</v>
      </c>
      <c r="E11">
        <v>450</v>
      </c>
      <c r="F11">
        <v>935</v>
      </c>
      <c r="G11">
        <v>380</v>
      </c>
      <c r="H11">
        <v>610</v>
      </c>
      <c r="I11">
        <v>367</v>
      </c>
      <c r="J11">
        <v>709</v>
      </c>
      <c r="K11">
        <v>218</v>
      </c>
      <c r="L11">
        <v>607</v>
      </c>
      <c r="M11">
        <v>609</v>
      </c>
      <c r="N11">
        <v>609</v>
      </c>
      <c r="O11">
        <v>6672</v>
      </c>
      <c r="Q11" s="1">
        <f>C11/$C$434</f>
        <v>1.9254980374731542E-2</v>
      </c>
      <c r="R11" s="1">
        <f t="shared" si="5"/>
        <v>1.6777674732315992E-2</v>
      </c>
      <c r="S11" s="1">
        <f t="shared" si="1"/>
        <v>1.5275467599035948E-2</v>
      </c>
      <c r="T11" s="1">
        <f t="shared" si="1"/>
        <v>3.7545677227643258E-2</v>
      </c>
      <c r="U11" s="1">
        <f t="shared" si="1"/>
        <v>1.8114214891791401E-2</v>
      </c>
      <c r="V11" s="1">
        <f t="shared" si="1"/>
        <v>2.04197770562046E-2</v>
      </c>
      <c r="W11" s="1">
        <f t="shared" si="1"/>
        <v>8.2180124501768995E-3</v>
      </c>
      <c r="X11" s="1">
        <f t="shared" si="1"/>
        <v>3.7877978416497489E-2</v>
      </c>
      <c r="Y11" s="1">
        <f t="shared" si="1"/>
        <v>5.5793002840836383E-3</v>
      </c>
      <c r="Z11" s="1">
        <f t="shared" si="6"/>
        <v>1.5402963865205035E-2</v>
      </c>
      <c r="AA11" s="1">
        <f t="shared" si="2"/>
        <v>1.5246726585384172E-2</v>
      </c>
      <c r="AB11" s="1">
        <f t="shared" si="3"/>
        <v>2.140748031496063E-2</v>
      </c>
      <c r="AC11" s="1">
        <f t="shared" si="4"/>
        <v>1.7572137416642965E-2</v>
      </c>
      <c r="AD11" s="1" t="str">
        <f t="shared" si="7"/>
        <v>LA TRINITE AUTOMOBILE</v>
      </c>
      <c r="AE11" s="1" t="str">
        <f t="shared" si="8"/>
        <v>49483</v>
      </c>
      <c r="AF11" s="3">
        <f>Q11*Feuil2!$B$3</f>
        <v>681.14339035769831</v>
      </c>
      <c r="AG11" s="3">
        <f>R11*Feuil2!$C$3</f>
        <v>593.50890144169955</v>
      </c>
      <c r="AH11" s="3">
        <f>S11*Feuil2!$D$3</f>
        <v>600.29227061339498</v>
      </c>
      <c r="AI11" s="3">
        <f>T11*Feuil2!$E$2</f>
        <v>1407.3246195237523</v>
      </c>
      <c r="AJ11" s="3">
        <f>U11*Feuil2!$F$3</f>
        <v>462.78920774144348</v>
      </c>
      <c r="AK11" s="3">
        <f>V11*Feuil2!$G$3</f>
        <v>822.66626050279524</v>
      </c>
      <c r="AL11" s="3">
        <f>W11*Feuil2!$H$3</f>
        <v>298.78622329705763</v>
      </c>
      <c r="AM11" s="3">
        <f>X11*Feuil2!$I$2</f>
        <v>809.14937493321941</v>
      </c>
      <c r="AN11" s="3">
        <f>Y11*Feuil2!$J$3</f>
        <v>235.74128221534053</v>
      </c>
      <c r="AO11" s="3">
        <f>Z11*Feuil2!$K$3</f>
        <v>620.55029537149824</v>
      </c>
      <c r="AP11" s="3">
        <f>AA11*Feuil2!$L$3</f>
        <v>554.33255689357338</v>
      </c>
      <c r="AQ11" s="3">
        <f>AB11*Feuil2!$M$3</f>
        <v>715.21963582677176</v>
      </c>
      <c r="AR11" s="3">
        <f>AC11*Feuil2!$N$3</f>
        <v>7357.2163610505368</v>
      </c>
    </row>
    <row r="12" spans="1:45" x14ac:dyDescent="0.35">
      <c r="A12" t="s">
        <v>21</v>
      </c>
      <c r="B12" t="s">
        <v>32</v>
      </c>
      <c r="C12">
        <v>572</v>
      </c>
      <c r="D12">
        <v>380</v>
      </c>
      <c r="E12">
        <v>270</v>
      </c>
      <c r="F12">
        <v>508</v>
      </c>
      <c r="G12">
        <v>412</v>
      </c>
      <c r="H12">
        <v>874</v>
      </c>
      <c r="I12">
        <v>374</v>
      </c>
      <c r="J12">
        <v>697</v>
      </c>
      <c r="K12">
        <v>440</v>
      </c>
      <c r="L12">
        <v>704</v>
      </c>
      <c r="M12">
        <v>606</v>
      </c>
      <c r="N12">
        <v>606</v>
      </c>
      <c r="O12">
        <v>6443</v>
      </c>
      <c r="Q12" s="1">
        <f>C12/$C$434</f>
        <v>1.4120318941469796E-2</v>
      </c>
      <c r="R12" s="1">
        <f t="shared" si="5"/>
        <v>1.6018885422814266E-2</v>
      </c>
      <c r="S12" s="1">
        <f t="shared" si="1"/>
        <v>9.1652805594215694E-3</v>
      </c>
      <c r="T12" s="1">
        <f t="shared" si="1"/>
        <v>2.0399148696944144E-2</v>
      </c>
      <c r="U12" s="1">
        <f t="shared" si="1"/>
        <v>1.9639622461626465E-2</v>
      </c>
      <c r="V12" s="1">
        <f t="shared" si="1"/>
        <v>2.9257188765775113E-2</v>
      </c>
      <c r="W12" s="1">
        <f t="shared" si="1"/>
        <v>8.3747592816516645E-3</v>
      </c>
      <c r="X12" s="1">
        <f t="shared" si="1"/>
        <v>3.7236884282508813E-2</v>
      </c>
      <c r="Y12" s="1">
        <f t="shared" si="1"/>
        <v>1.126097305044404E-2</v>
      </c>
      <c r="Z12" s="1">
        <f t="shared" si="6"/>
        <v>1.7864393016646368E-2</v>
      </c>
      <c r="AA12" s="1">
        <f t="shared" si="2"/>
        <v>1.5171619557869965E-2</v>
      </c>
      <c r="AB12" s="1">
        <f t="shared" si="3"/>
        <v>2.1302024746906636E-2</v>
      </c>
      <c r="AC12" s="1">
        <f t="shared" si="4"/>
        <v>1.6969016992720416E-2</v>
      </c>
      <c r="AD12" s="1" t="str">
        <f t="shared" si="7"/>
        <v>MARY AUTOMOBILES COMMERCES ET</v>
      </c>
      <c r="AE12" s="1" t="str">
        <f t="shared" si="8"/>
        <v>6012</v>
      </c>
      <c r="AF12" s="3">
        <f>Q12*Feuil2!$B$3</f>
        <v>499.5051529289787</v>
      </c>
      <c r="AG12" s="3">
        <f>R12*Feuil2!$C$3</f>
        <v>566.66679032122079</v>
      </c>
      <c r="AH12" s="3">
        <f>S12*Feuil2!$D$3</f>
        <v>360.17536236803699</v>
      </c>
      <c r="AI12" s="3">
        <f>T12*Feuil2!$E$2</f>
        <v>764.62129060755728</v>
      </c>
      <c r="AJ12" s="3">
        <f>U12*Feuil2!$F$3</f>
        <v>501.7609304986176</v>
      </c>
      <c r="AK12" s="3">
        <f>V12*Feuil2!$G$3</f>
        <v>1178.7054289826933</v>
      </c>
      <c r="AL12" s="3">
        <f>W12*Feuil2!$H$3</f>
        <v>304.48514308746479</v>
      </c>
      <c r="AM12" s="3">
        <f>X12*Feuil2!$I$2</f>
        <v>795.45432204295321</v>
      </c>
      <c r="AN12" s="3">
        <f>Y12*Feuil2!$J$3</f>
        <v>475.80809254472399</v>
      </c>
      <c r="AO12" s="3">
        <f>Z12*Feuil2!$K$3</f>
        <v>719.71566382460423</v>
      </c>
      <c r="AP12" s="3">
        <f>AA12*Feuil2!$L$3</f>
        <v>551.6018546428661</v>
      </c>
      <c r="AQ12" s="3">
        <f>AB12*Feuil2!$M$3</f>
        <v>711.69638638920139</v>
      </c>
      <c r="AR12" s="3">
        <f>AC12*Feuil2!$N$3</f>
        <v>7104.6979937422975</v>
      </c>
    </row>
    <row r="13" spans="1:45" x14ac:dyDescent="0.35">
      <c r="A13" t="s">
        <v>33</v>
      </c>
      <c r="B13" t="s">
        <v>34</v>
      </c>
      <c r="C13">
        <v>597</v>
      </c>
      <c r="D13">
        <v>486</v>
      </c>
      <c r="E13">
        <v>264</v>
      </c>
      <c r="F13">
        <v>491</v>
      </c>
      <c r="G13">
        <v>133</v>
      </c>
      <c r="H13">
        <v>238</v>
      </c>
      <c r="I13">
        <v>784</v>
      </c>
      <c r="J13">
        <v>463</v>
      </c>
      <c r="K13">
        <v>324</v>
      </c>
      <c r="L13">
        <v>825</v>
      </c>
      <c r="M13">
        <v>1150</v>
      </c>
      <c r="N13">
        <v>1150</v>
      </c>
      <c r="O13">
        <v>6905</v>
      </c>
      <c r="Q13" s="1">
        <f>C13/$C$434</f>
        <v>1.4737465748352219E-2</v>
      </c>
      <c r="R13" s="1">
        <f t="shared" si="5"/>
        <v>2.0487311356546665E-2</v>
      </c>
      <c r="S13" s="1">
        <f t="shared" si="1"/>
        <v>8.9616076581010892E-3</v>
      </c>
      <c r="T13" s="1">
        <f t="shared" si="1"/>
        <v>1.9716500020077903E-2</v>
      </c>
      <c r="U13" s="1">
        <f t="shared" si="1"/>
        <v>6.3399752121269899E-3</v>
      </c>
      <c r="V13" s="1">
        <f t="shared" si="1"/>
        <v>7.9670605563552377E-3</v>
      </c>
      <c r="W13" s="1">
        <f t="shared" si="1"/>
        <v>1.755564512517354E-2</v>
      </c>
      <c r="X13" s="1">
        <f t="shared" si="1"/>
        <v>2.4735548669729671E-2</v>
      </c>
      <c r="Y13" s="1">
        <f t="shared" si="1"/>
        <v>8.2921710644178852E-3</v>
      </c>
      <c r="Z13" s="1">
        <f t="shared" si="6"/>
        <v>2.0934835566382461E-2</v>
      </c>
      <c r="AA13" s="1">
        <f t="shared" si="2"/>
        <v>2.8791027213779637E-2</v>
      </c>
      <c r="AB13" s="1">
        <f t="shared" si="3"/>
        <v>4.0424634420697415E-2</v>
      </c>
      <c r="AC13" s="1">
        <f t="shared" si="4"/>
        <v>1.8185792695131844E-2</v>
      </c>
      <c r="AD13" s="1" t="str">
        <f t="shared" si="7"/>
        <v>MARY AUTOMOBILES LISIEUX</v>
      </c>
      <c r="AE13" s="1" t="str">
        <f t="shared" si="8"/>
        <v>5001</v>
      </c>
      <c r="AF13" s="3">
        <f>Q13*Feuil2!$B$3</f>
        <v>521.33667185069987</v>
      </c>
      <c r="AG13" s="3">
        <f>R13*Feuil2!$C$3</f>
        <v>724.73700025292976</v>
      </c>
      <c r="AH13" s="3">
        <f>S13*Feuil2!$D$3</f>
        <v>352.171465426525</v>
      </c>
      <c r="AI13" s="3">
        <f>T13*Feuil2!$E$2</f>
        <v>739.03357025258003</v>
      </c>
      <c r="AJ13" s="3">
        <f>U13*Feuil2!$F$3</f>
        <v>161.97622270950521</v>
      </c>
      <c r="AK13" s="3">
        <f>V13*Feuil2!$G$3</f>
        <v>320.97470491748402</v>
      </c>
      <c r="AL13" s="3">
        <f>W13*Feuil2!$H$3</f>
        <v>638.27901652559456</v>
      </c>
      <c r="AM13" s="3">
        <f>X13*Feuil2!$I$2</f>
        <v>528.40079068276521</v>
      </c>
      <c r="AN13" s="3">
        <f>Y13*Feuil2!$J$3</f>
        <v>350.36777723747861</v>
      </c>
      <c r="AO13" s="3">
        <f>Z13*Feuil2!$K$3</f>
        <v>843.41679354445796</v>
      </c>
      <c r="AP13" s="3">
        <f>AA13*Feuil2!$L$3</f>
        <v>1046.7691961044491</v>
      </c>
      <c r="AQ13" s="3">
        <f>AB13*Feuil2!$M$3</f>
        <v>1350.5789510686166</v>
      </c>
      <c r="AR13" s="3">
        <f>AC13*Feuil2!$N$3</f>
        <v>7614.1455295344658</v>
      </c>
    </row>
    <row r="14" spans="1:45" x14ac:dyDescent="0.35">
      <c r="A14" t="s">
        <v>21</v>
      </c>
      <c r="B14" t="s">
        <v>35</v>
      </c>
      <c r="C14">
        <v>454</v>
      </c>
      <c r="D14">
        <v>543</v>
      </c>
      <c r="E14">
        <v>112</v>
      </c>
      <c r="F14">
        <v>269</v>
      </c>
      <c r="G14">
        <v>298</v>
      </c>
      <c r="H14">
        <v>444</v>
      </c>
      <c r="I14">
        <v>583</v>
      </c>
      <c r="J14">
        <v>1094</v>
      </c>
      <c r="K14">
        <v>731</v>
      </c>
      <c r="L14">
        <v>461</v>
      </c>
      <c r="M14">
        <v>465</v>
      </c>
      <c r="N14">
        <v>465</v>
      </c>
      <c r="O14">
        <v>5919</v>
      </c>
      <c r="Q14" s="1">
        <f>C14/$C$434</f>
        <v>1.1207386012984769E-2</v>
      </c>
      <c r="R14" s="1">
        <f t="shared" si="5"/>
        <v>2.2890144169968804E-2</v>
      </c>
      <c r="S14" s="1">
        <f t="shared" si="1"/>
        <v>3.8018941579822806E-3</v>
      </c>
      <c r="T14" s="1">
        <f t="shared" si="1"/>
        <v>1.0801911416295225E-2</v>
      </c>
      <c r="U14" s="1">
        <f t="shared" si="1"/>
        <v>1.4205357994089046E-2</v>
      </c>
      <c r="V14" s="1">
        <f t="shared" si="1"/>
        <v>1.4862919693368594E-2</v>
      </c>
      <c r="W14" s="1">
        <f t="shared" si="1"/>
        <v>1.3054771821398182E-2</v>
      </c>
      <c r="X14" s="1">
        <f t="shared" si="1"/>
        <v>5.8446415215300779E-2</v>
      </c>
      <c r="Y14" s="1">
        <f t="shared" si="1"/>
        <v>1.8708571136078621E-2</v>
      </c>
      <c r="Z14" s="1">
        <f t="shared" si="6"/>
        <v>1.1698132358911897E-2</v>
      </c>
      <c r="AA14" s="1">
        <f t="shared" si="2"/>
        <v>1.16415892647022E-2</v>
      </c>
      <c r="AB14" s="1">
        <f t="shared" si="3"/>
        <v>1.6345613048368953E-2</v>
      </c>
      <c r="AC14" s="1">
        <f t="shared" si="4"/>
        <v>1.5588951044530831E-2</v>
      </c>
      <c r="AD14" s="1" t="str">
        <f t="shared" si="7"/>
        <v>MARY AUTOMOBILES COMMERCES ET</v>
      </c>
      <c r="AE14" s="1" t="str">
        <f t="shared" si="8"/>
        <v>3314</v>
      </c>
      <c r="AF14" s="3">
        <f>Q14*Feuil2!$B$3</f>
        <v>396.46038361845513</v>
      </c>
      <c r="AG14" s="3">
        <f>R14*Feuil2!$C$3</f>
        <v>809.73701880111275</v>
      </c>
      <c r="AH14" s="3">
        <f>S14*Feuil2!$D$3</f>
        <v>149.40607624155606</v>
      </c>
      <c r="AI14" s="3">
        <f>T14*Feuil2!$E$2</f>
        <v>404.88804561699391</v>
      </c>
      <c r="AJ14" s="3">
        <f>U14*Feuil2!$F$3</f>
        <v>362.92416817618459</v>
      </c>
      <c r="AK14" s="3">
        <f>V14*Feuil2!$G$3</f>
        <v>598.79314698891983</v>
      </c>
      <c r="AL14" s="3">
        <f>W14*Feuil2!$H$3</f>
        <v>474.63860540104798</v>
      </c>
      <c r="AM14" s="3">
        <f>X14*Feuil2!$I$2</f>
        <v>1248.5323218292551</v>
      </c>
      <c r="AN14" s="3">
        <f>Y14*Feuil2!$J$3</f>
        <v>790.49026284134823</v>
      </c>
      <c r="AO14" s="3">
        <f>Z14*Feuil2!$K$3</f>
        <v>471.29108099878204</v>
      </c>
      <c r="AP14" s="3">
        <f>AA14*Feuil2!$L$3</f>
        <v>423.258848859625</v>
      </c>
      <c r="AQ14" s="3">
        <f>AB14*Feuil2!$M$3</f>
        <v>546.10366282339714</v>
      </c>
      <c r="AR14" s="3">
        <f>AC14*Feuil2!$N$3</f>
        <v>6526.8830397269376</v>
      </c>
    </row>
    <row r="15" spans="1:45" x14ac:dyDescent="0.35">
      <c r="A15" t="s">
        <v>36</v>
      </c>
      <c r="B15" t="s">
        <v>37</v>
      </c>
      <c r="C15">
        <v>636</v>
      </c>
      <c r="D15">
        <v>481</v>
      </c>
      <c r="E15">
        <v>237</v>
      </c>
      <c r="F15">
        <v>409</v>
      </c>
      <c r="G15">
        <v>368</v>
      </c>
      <c r="H15">
        <v>603</v>
      </c>
      <c r="I15">
        <v>505</v>
      </c>
      <c r="J15">
        <v>868</v>
      </c>
      <c r="K15">
        <v>365</v>
      </c>
      <c r="L15">
        <v>736</v>
      </c>
      <c r="M15">
        <v>138</v>
      </c>
      <c r="N15">
        <v>138</v>
      </c>
      <c r="O15">
        <v>5484</v>
      </c>
      <c r="Q15" s="1">
        <f>C15/$C$434</f>
        <v>1.5700214767088796E-2</v>
      </c>
      <c r="R15" s="1">
        <f t="shared" si="5"/>
        <v>2.027653654835174E-2</v>
      </c>
      <c r="S15" s="1">
        <f t="shared" si="1"/>
        <v>8.0450796021589322E-3</v>
      </c>
      <c r="T15" s="1">
        <f t="shared" si="1"/>
        <v>1.6423724049311327E-2</v>
      </c>
      <c r="U15" s="1">
        <f t="shared" si="1"/>
        <v>1.7542187053103252E-2</v>
      </c>
      <c r="V15" s="1">
        <f t="shared" si="1"/>
        <v>2.0185451745723563E-2</v>
      </c>
      <c r="W15" s="1">
        <f t="shared" si="1"/>
        <v>1.1308164270679386E-2</v>
      </c>
      <c r="X15" s="1">
        <f t="shared" si="1"/>
        <v>4.6372475691847423E-2</v>
      </c>
      <c r="Y15" s="1">
        <f t="shared" si="1"/>
        <v>9.341489007754715E-3</v>
      </c>
      <c r="Z15" s="1">
        <f t="shared" si="6"/>
        <v>1.8676410881039381E-2</v>
      </c>
      <c r="AA15" s="1">
        <f t="shared" si="2"/>
        <v>3.4549232656535564E-3</v>
      </c>
      <c r="AB15" s="1">
        <f t="shared" si="3"/>
        <v>4.8509561304836898E-3</v>
      </c>
      <c r="AC15" s="1">
        <f t="shared" si="4"/>
        <v>1.4443285610442148E-2</v>
      </c>
      <c r="AD15" s="1" t="str">
        <f t="shared" si="7"/>
        <v>MARY AUTOMOBILES BAYEUX</v>
      </c>
      <c r="AE15" s="1" t="str">
        <f t="shared" si="8"/>
        <v>3002</v>
      </c>
      <c r="AF15" s="3">
        <f>Q15*Feuil2!$B$3</f>
        <v>555.39384136858473</v>
      </c>
      <c r="AG15" s="3">
        <f>R15*Feuil2!$C$3</f>
        <v>717.28085827501889</v>
      </c>
      <c r="AH15" s="3">
        <f>S15*Feuil2!$D$3</f>
        <v>316.15392918972128</v>
      </c>
      <c r="AI15" s="3">
        <f>T15*Feuil2!$E$2</f>
        <v>615.61044854033651</v>
      </c>
      <c r="AJ15" s="3">
        <f>U15*Feuil2!$F$3</f>
        <v>448.17481170750312</v>
      </c>
      <c r="AK15" s="3">
        <f>V15*Feuil2!$G$3</f>
        <v>813.22582800522207</v>
      </c>
      <c r="AL15" s="3">
        <f>W15*Feuil2!$H$3</f>
        <v>411.13635630794039</v>
      </c>
      <c r="AM15" s="3">
        <f>X15*Feuil2!$I$2</f>
        <v>990.6088257292447</v>
      </c>
      <c r="AN15" s="3">
        <f>Y15*Feuil2!$J$3</f>
        <v>394.70444040641877</v>
      </c>
      <c r="AO15" s="3">
        <f>Z15*Feuil2!$K$3</f>
        <v>752.43001218026791</v>
      </c>
      <c r="AP15" s="3">
        <f>AA15*Feuil2!$L$3</f>
        <v>125.61230353253387</v>
      </c>
      <c r="AQ15" s="3">
        <f>AB15*Feuil2!$M$3</f>
        <v>162.06947412823399</v>
      </c>
      <c r="AR15" s="3">
        <f>AC15*Feuil2!$N$3</f>
        <v>6047.2084118706753</v>
      </c>
    </row>
    <row r="16" spans="1:45" x14ac:dyDescent="0.35">
      <c r="A16" t="s">
        <v>38</v>
      </c>
      <c r="B16" t="s">
        <v>39</v>
      </c>
      <c r="C16">
        <v>940</v>
      </c>
      <c r="D16">
        <v>201</v>
      </c>
      <c r="E16">
        <v>386</v>
      </c>
      <c r="F16">
        <v>149</v>
      </c>
      <c r="G16">
        <v>640</v>
      </c>
      <c r="H16">
        <v>615</v>
      </c>
      <c r="I16">
        <v>241</v>
      </c>
      <c r="J16">
        <v>312</v>
      </c>
      <c r="K16">
        <v>267</v>
      </c>
      <c r="L16">
        <v>451</v>
      </c>
      <c r="M16">
        <v>528</v>
      </c>
      <c r="N16">
        <v>528</v>
      </c>
      <c r="O16">
        <v>5258</v>
      </c>
      <c r="Q16" s="1">
        <f>C16/$C$434</f>
        <v>2.3204719938779036E-2</v>
      </c>
      <c r="R16" s="1">
        <f t="shared" si="5"/>
        <v>8.4731472894359668E-3</v>
      </c>
      <c r="S16" s="1">
        <f t="shared" si="1"/>
        <v>1.3102956651617502E-2</v>
      </c>
      <c r="T16" s="1">
        <f t="shared" si="1"/>
        <v>5.9832148737099947E-3</v>
      </c>
      <c r="U16" s="1">
        <f t="shared" si="1"/>
        <v>3.0508151396701304E-2</v>
      </c>
      <c r="V16" s="1">
        <f t="shared" si="1"/>
        <v>2.0587152277976768E-2</v>
      </c>
      <c r="W16" s="1">
        <f t="shared" si="1"/>
        <v>5.396569483631152E-3</v>
      </c>
      <c r="X16" s="1">
        <f t="shared" si="1"/>
        <v>1.6668447483705523E-2</v>
      </c>
      <c r="Y16" s="1">
        <f t="shared" si="1"/>
        <v>6.8333631919739977E-3</v>
      </c>
      <c r="Z16" s="1">
        <f t="shared" si="6"/>
        <v>1.1444376776289079E-2</v>
      </c>
      <c r="AA16" s="1">
        <f t="shared" si="2"/>
        <v>1.3218836842500564E-2</v>
      </c>
      <c r="AB16" s="1">
        <f t="shared" si="3"/>
        <v>1.8560179977502811E-2</v>
      </c>
      <c r="AC16" s="1">
        <f t="shared" si="4"/>
        <v>1.384806632744435E-2</v>
      </c>
      <c r="AD16" s="1" t="str">
        <f t="shared" si="7"/>
        <v>VANHESE AUTOMOBILES</v>
      </c>
      <c r="AE16" s="1" t="str">
        <f t="shared" si="8"/>
        <v>5619</v>
      </c>
      <c r="AF16" s="3">
        <f>Q16*Feuil2!$B$3</f>
        <v>820.86511145671329</v>
      </c>
      <c r="AG16" s="3">
        <f>R16*Feuil2!$C$3</f>
        <v>299.73690751201417</v>
      </c>
      <c r="AH16" s="3">
        <f>S16*Feuil2!$D$3</f>
        <v>514.91736990393429</v>
      </c>
      <c r="AI16" s="3">
        <f>T16*Feuil2!$E$2</f>
        <v>224.26884311127174</v>
      </c>
      <c r="AJ16" s="3">
        <f>U16*Feuil2!$F$3</f>
        <v>779.43445514348366</v>
      </c>
      <c r="AK16" s="3">
        <f>V16*Feuil2!$G$3</f>
        <v>829.40942657249025</v>
      </c>
      <c r="AL16" s="3">
        <f>W16*Feuil2!$H$3</f>
        <v>196.20566706972994</v>
      </c>
      <c r="AM16" s="3">
        <f>X16*Feuil2!$I$2</f>
        <v>356.07137514691738</v>
      </c>
      <c r="AN16" s="3">
        <f>Y16*Feuil2!$J$3</f>
        <v>288.72900161236663</v>
      </c>
      <c r="AO16" s="3">
        <f>Z16*Feuil2!$K$3</f>
        <v>461.06784713763705</v>
      </c>
      <c r="AP16" s="3">
        <f>AA16*Feuil2!$L$3</f>
        <v>480.60359612447741</v>
      </c>
      <c r="AQ16" s="3">
        <f>AB16*Feuil2!$M$3</f>
        <v>620.09190101237346</v>
      </c>
      <c r="AR16" s="3">
        <f>AC16*Feuil2!$N$3</f>
        <v>5797.9981454442031</v>
      </c>
    </row>
    <row r="17" spans="1:44" x14ac:dyDescent="0.35">
      <c r="A17" t="s">
        <v>40</v>
      </c>
      <c r="B17" t="s">
        <v>41</v>
      </c>
      <c r="C17">
        <v>199</v>
      </c>
      <c r="D17">
        <v>209</v>
      </c>
      <c r="E17">
        <v>519</v>
      </c>
      <c r="F17">
        <v>1028</v>
      </c>
      <c r="G17">
        <v>234</v>
      </c>
      <c r="H17">
        <v>227</v>
      </c>
      <c r="I17">
        <v>403</v>
      </c>
      <c r="J17">
        <v>216</v>
      </c>
      <c r="K17">
        <v>339</v>
      </c>
      <c r="L17">
        <v>203</v>
      </c>
      <c r="M17">
        <v>324</v>
      </c>
      <c r="N17">
        <v>324</v>
      </c>
      <c r="O17">
        <v>4225</v>
      </c>
      <c r="Q17" s="1">
        <f>C17/$C$434</f>
        <v>4.9124885827840723E-3</v>
      </c>
      <c r="R17" s="1">
        <f t="shared" si="5"/>
        <v>8.8103869825478451E-3</v>
      </c>
      <c r="S17" s="1">
        <f t="shared" si="1"/>
        <v>1.761770596422146E-2</v>
      </c>
      <c r="T17" s="1">
        <f t="shared" si="1"/>
        <v>4.1280167048146812E-2</v>
      </c>
      <c r="U17" s="1">
        <f t="shared" si="1"/>
        <v>1.1154542854418916E-2</v>
      </c>
      <c r="V17" s="1">
        <f t="shared" si="1"/>
        <v>7.5988350684564653E-3</v>
      </c>
      <c r="W17" s="1">
        <f t="shared" si="1"/>
        <v>9.0241390120471138E-3</v>
      </c>
      <c r="X17" s="1">
        <f t="shared" si="1"/>
        <v>1.1539694411796132E-2</v>
      </c>
      <c r="Y17" s="1">
        <f t="shared" si="1"/>
        <v>8.6760678729557502E-3</v>
      </c>
      <c r="Z17" s="1">
        <f t="shared" si="6"/>
        <v>5.1512383272431994E-3</v>
      </c>
      <c r="AA17" s="1">
        <f t="shared" si="2"/>
        <v>8.1115589715344358E-3</v>
      </c>
      <c r="AB17" s="1">
        <f t="shared" si="3"/>
        <v>1.1389201349831271E-2</v>
      </c>
      <c r="AC17" s="1">
        <f t="shared" si="4"/>
        <v>1.1127440135688926E-2</v>
      </c>
      <c r="AD17" s="1" t="str">
        <f t="shared" si="7"/>
        <v>MARY DISTRIBUTION AUTOMOBILE C</v>
      </c>
      <c r="AE17" s="1" t="str">
        <f t="shared" si="8"/>
        <v>3004</v>
      </c>
      <c r="AF17" s="3">
        <f>Q17*Feuil2!$B$3</f>
        <v>173.77889061689993</v>
      </c>
      <c r="AG17" s="3">
        <f>R17*Feuil2!$C$3</f>
        <v>311.66673467667141</v>
      </c>
      <c r="AH17" s="3">
        <f>S17*Feuil2!$D$3</f>
        <v>692.33708544078218</v>
      </c>
      <c r="AI17" s="3">
        <f>T17*Feuil2!$E$2</f>
        <v>1547.3045014656871</v>
      </c>
      <c r="AJ17" s="3">
        <f>U17*Feuil2!$F$3</f>
        <v>284.98072266183624</v>
      </c>
      <c r="AK17" s="3">
        <f>V17*Feuil2!$G$3</f>
        <v>306.13973956415492</v>
      </c>
      <c r="AL17" s="3">
        <f>W17*Feuil2!$H$3</f>
        <v>328.09495364772272</v>
      </c>
      <c r="AM17" s="3">
        <f>X17*Feuil2!$I$2</f>
        <v>246.51095202478896</v>
      </c>
      <c r="AN17" s="3">
        <f>Y17*Feuil2!$J$3</f>
        <v>366.58850766513967</v>
      </c>
      <c r="AO17" s="3">
        <f>Z17*Feuil2!$K$3</f>
        <v>207.53164738124241</v>
      </c>
      <c r="AP17" s="3">
        <f>AA17*Feuil2!$L$3</f>
        <v>294.91584307638385</v>
      </c>
      <c r="AQ17" s="3">
        <f>AB17*Feuil2!$M$3</f>
        <v>380.51093925759284</v>
      </c>
      <c r="AR17" s="3">
        <f>AC17*Feuil2!$N$3</f>
        <v>4658.9087418223189</v>
      </c>
    </row>
    <row r="18" spans="1:44" x14ac:dyDescent="0.35">
      <c r="A18" t="s">
        <v>42</v>
      </c>
      <c r="B18" t="s">
        <v>43</v>
      </c>
      <c r="C18">
        <v>396</v>
      </c>
      <c r="D18">
        <v>303</v>
      </c>
      <c r="E18">
        <v>415</v>
      </c>
      <c r="F18">
        <v>271</v>
      </c>
      <c r="G18">
        <v>200</v>
      </c>
      <c r="H18">
        <v>674</v>
      </c>
      <c r="I18">
        <v>1027</v>
      </c>
      <c r="J18">
        <v>0</v>
      </c>
      <c r="K18">
        <v>121</v>
      </c>
      <c r="L18">
        <v>328</v>
      </c>
      <c r="M18">
        <v>133</v>
      </c>
      <c r="N18">
        <v>133</v>
      </c>
      <c r="O18">
        <v>4001</v>
      </c>
      <c r="Q18" s="1">
        <f>C18/$C$434</f>
        <v>9.7756054210175521E-3</v>
      </c>
      <c r="R18" s="1">
        <f t="shared" si="5"/>
        <v>1.2772953376612427E-2</v>
      </c>
      <c r="S18" s="1">
        <f t="shared" si="1"/>
        <v>1.4087375674666485E-2</v>
      </c>
      <c r="T18" s="1">
        <f t="shared" si="1"/>
        <v>1.0882223025338313E-2</v>
      </c>
      <c r="U18" s="1">
        <f t="shared" si="1"/>
        <v>9.5337973114691579E-3</v>
      </c>
      <c r="V18" s="1">
        <f t="shared" si="1"/>
        <v>2.256217989488836E-2</v>
      </c>
      <c r="W18" s="1">
        <f t="shared" si="1"/>
        <v>2.2996999417797485E-2</v>
      </c>
      <c r="X18" s="1">
        <f t="shared" si="1"/>
        <v>0</v>
      </c>
      <c r="Y18" s="1">
        <f t="shared" si="1"/>
        <v>3.0967675888721111E-3</v>
      </c>
      <c r="Z18" s="1">
        <f t="shared" si="6"/>
        <v>8.32318311002842E-3</v>
      </c>
      <c r="AA18" s="1">
        <f t="shared" si="2"/>
        <v>3.3297448864632101E-3</v>
      </c>
      <c r="AB18" s="1">
        <f t="shared" si="3"/>
        <v>4.6751968503937012E-3</v>
      </c>
      <c r="AC18" s="1">
        <f t="shared" si="4"/>
        <v>1.0537488279974295E-2</v>
      </c>
      <c r="AD18" s="1" t="str">
        <f t="shared" si="7"/>
        <v>ROPERH AUTOMOBILES</v>
      </c>
      <c r="AE18" s="1" t="str">
        <f t="shared" si="8"/>
        <v>3459</v>
      </c>
      <c r="AF18" s="3">
        <f>Q18*Feuil2!$B$3</f>
        <v>345.8112597200622</v>
      </c>
      <c r="AG18" s="3">
        <f>R18*Feuil2!$C$3</f>
        <v>451.84220386139447</v>
      </c>
      <c r="AH18" s="3">
        <f>S18*Feuil2!$D$3</f>
        <v>553.60287178790861</v>
      </c>
      <c r="AI18" s="3">
        <f>T18*Feuil2!$E$2</f>
        <v>407.89836565875601</v>
      </c>
      <c r="AJ18" s="3">
        <f>U18*Feuil2!$F$3</f>
        <v>243.57326723233865</v>
      </c>
      <c r="AK18" s="3">
        <f>V18*Feuil2!$G$3</f>
        <v>908.97878619489165</v>
      </c>
      <c r="AL18" s="3">
        <f>W18*Feuil2!$H$3</f>
        <v>836.11294639258381</v>
      </c>
      <c r="AM18" s="3">
        <f>X18*Feuil2!$I$2</f>
        <v>0</v>
      </c>
      <c r="AN18" s="3">
        <f>Y18*Feuil2!$J$3</f>
        <v>130.84722544979911</v>
      </c>
      <c r="AO18" s="3">
        <f>Z18*Feuil2!$K$3</f>
        <v>335.32207064555416</v>
      </c>
      <c r="AP18" s="3">
        <f>AA18*Feuil2!$L$3</f>
        <v>121.06113311468845</v>
      </c>
      <c r="AQ18" s="3">
        <f>AB18*Feuil2!$M$3</f>
        <v>156.19739173228348</v>
      </c>
      <c r="AR18" s="3">
        <f>AC18*Feuil2!$N$3</f>
        <v>4411.9038759836922</v>
      </c>
    </row>
    <row r="19" spans="1:44" x14ac:dyDescent="0.35">
      <c r="A19" t="s">
        <v>44</v>
      </c>
      <c r="B19" t="s">
        <v>45</v>
      </c>
      <c r="C19">
        <v>0</v>
      </c>
      <c r="D19">
        <v>0</v>
      </c>
      <c r="E19">
        <v>0</v>
      </c>
      <c r="F19">
        <v>0</v>
      </c>
      <c r="G19">
        <v>0</v>
      </c>
      <c r="H19">
        <v>472</v>
      </c>
      <c r="I19">
        <v>2067</v>
      </c>
      <c r="J19">
        <v>483</v>
      </c>
      <c r="K19">
        <v>793</v>
      </c>
      <c r="L19">
        <v>0</v>
      </c>
      <c r="M19">
        <v>0</v>
      </c>
      <c r="N19">
        <v>0</v>
      </c>
      <c r="O19">
        <v>3815</v>
      </c>
      <c r="Q19" s="1">
        <f>C19/$C$434</f>
        <v>0</v>
      </c>
      <c r="R19" s="1">
        <f t="shared" si="5"/>
        <v>0</v>
      </c>
      <c r="S19" s="1">
        <f t="shared" ref="S19:S82" si="9">E19/E$434</f>
        <v>0</v>
      </c>
      <c r="T19" s="1">
        <f t="shared" ref="T19:T82" si="10">F19/F$434</f>
        <v>0</v>
      </c>
      <c r="U19" s="1">
        <f t="shared" ref="U19:U82" si="11">G19/G$434</f>
        <v>0</v>
      </c>
      <c r="V19" s="1">
        <f t="shared" ref="V19:V82" si="12">H19/H$434</f>
        <v>1.5800220935292739E-2</v>
      </c>
      <c r="W19" s="1">
        <f t="shared" ref="W19:W82" si="13">I19/I$434</f>
        <v>4.6285100094048098E-2</v>
      </c>
      <c r="X19" s="1">
        <f t="shared" ref="X19:X82" si="14">J19/J$434</f>
        <v>2.580403889304413E-2</v>
      </c>
      <c r="Y19" s="1">
        <f t="shared" ref="Y19:Y82" si="15">K19/K$434</f>
        <v>2.0295344611368463E-2</v>
      </c>
      <c r="Z19" s="1">
        <f t="shared" si="6"/>
        <v>0</v>
      </c>
      <c r="AA19" s="1">
        <f t="shared" si="2"/>
        <v>0</v>
      </c>
      <c r="AB19" s="1">
        <f t="shared" si="3"/>
        <v>0</v>
      </c>
      <c r="AC19" s="1">
        <f t="shared" si="4"/>
        <v>1.0047617542639824E-2</v>
      </c>
      <c r="AD19" s="1" t="str">
        <f t="shared" si="7"/>
        <v>JFC By Mary Automobiles DEAUVI</v>
      </c>
      <c r="AE19" s="1" t="str">
        <f t="shared" si="8"/>
        <v>5194</v>
      </c>
      <c r="AF19" s="3">
        <f>Q19*Feuil2!$B$3</f>
        <v>0</v>
      </c>
      <c r="AG19" s="3">
        <f>R19*Feuil2!$C$3</f>
        <v>0</v>
      </c>
      <c r="AH19" s="3">
        <f>S19*Feuil2!$D$3</f>
        <v>0</v>
      </c>
      <c r="AI19" s="3">
        <f>T19*Feuil2!$E$2</f>
        <v>0</v>
      </c>
      <c r="AJ19" s="3">
        <f>U19*Feuil2!$F$3</f>
        <v>0</v>
      </c>
      <c r="AK19" s="3">
        <f>V19*Feuil2!$G$3</f>
        <v>636.55487697921205</v>
      </c>
      <c r="AL19" s="3">
        <f>W19*Feuil2!$H$3</f>
        <v>1682.809600967352</v>
      </c>
      <c r="AM19" s="3">
        <f>X19*Feuil2!$I$2</f>
        <v>551.22587883320864</v>
      </c>
      <c r="AN19" s="3">
        <f>Y19*Feuil2!$J$3</f>
        <v>857.53594860901387</v>
      </c>
      <c r="AO19" s="3">
        <f>Z19*Feuil2!$K$3</f>
        <v>0</v>
      </c>
      <c r="AP19" s="3">
        <f>AA19*Feuil2!$L$3</f>
        <v>0</v>
      </c>
      <c r="AQ19" s="3">
        <f>AB19*Feuil2!$M$3</f>
        <v>0</v>
      </c>
      <c r="AR19" s="3">
        <f>AC19*Feuil2!$N$3</f>
        <v>4206.8016213141182</v>
      </c>
    </row>
    <row r="20" spans="1:44" x14ac:dyDescent="0.35">
      <c r="A20" t="s">
        <v>46</v>
      </c>
      <c r="B20" t="s">
        <v>47</v>
      </c>
      <c r="C20">
        <v>252</v>
      </c>
      <c r="D20">
        <v>438</v>
      </c>
      <c r="E20">
        <v>107</v>
      </c>
      <c r="F20">
        <v>383</v>
      </c>
      <c r="G20">
        <v>262</v>
      </c>
      <c r="H20">
        <v>446</v>
      </c>
      <c r="I20">
        <v>674</v>
      </c>
      <c r="J20">
        <v>0</v>
      </c>
      <c r="K20">
        <v>277</v>
      </c>
      <c r="L20">
        <v>373</v>
      </c>
      <c r="M20">
        <v>417</v>
      </c>
      <c r="N20">
        <v>417</v>
      </c>
      <c r="O20">
        <v>4046</v>
      </c>
      <c r="Q20" s="1">
        <f>C20/$C$434</f>
        <v>6.2208398133748056E-3</v>
      </c>
      <c r="R20" s="1">
        <f t="shared" si="5"/>
        <v>1.8463873197875388E-2</v>
      </c>
      <c r="S20" s="1">
        <f t="shared" si="9"/>
        <v>3.6321667402152143E-3</v>
      </c>
      <c r="T20" s="1">
        <f t="shared" si="10"/>
        <v>1.5379673131751195E-2</v>
      </c>
      <c r="U20" s="1">
        <f t="shared" si="11"/>
        <v>1.2489274478024597E-2</v>
      </c>
      <c r="V20" s="1">
        <f t="shared" si="12"/>
        <v>1.4929869782077462E-2</v>
      </c>
      <c r="W20" s="1">
        <f t="shared" si="13"/>
        <v>1.509248063057011E-2</v>
      </c>
      <c r="X20" s="1">
        <f t="shared" si="14"/>
        <v>0</v>
      </c>
      <c r="Y20" s="1">
        <f t="shared" si="15"/>
        <v>7.0892943976659075E-3</v>
      </c>
      <c r="Z20" s="1">
        <f t="shared" si="6"/>
        <v>9.4650832318311003E-3</v>
      </c>
      <c r="AA20" s="1">
        <f t="shared" si="2"/>
        <v>1.0439876824474876E-2</v>
      </c>
      <c r="AB20" s="1">
        <f t="shared" si="3"/>
        <v>1.4658323959505061E-2</v>
      </c>
      <c r="AC20" s="1">
        <f t="shared" si="4"/>
        <v>1.0656005393845537E-2</v>
      </c>
      <c r="AD20" s="1" t="str">
        <f t="shared" si="7"/>
        <v>MARTENAT SA</v>
      </c>
      <c r="AE20" s="1" t="str">
        <f t="shared" si="8"/>
        <v>3375</v>
      </c>
      <c r="AF20" s="3">
        <f>Q20*Feuil2!$B$3</f>
        <v>220.06171073094868</v>
      </c>
      <c r="AG20" s="3">
        <f>R20*Feuil2!$C$3</f>
        <v>653.15803726498598</v>
      </c>
      <c r="AH20" s="3">
        <f>S20*Feuil2!$D$3</f>
        <v>142.73616212362947</v>
      </c>
      <c r="AI20" s="3">
        <f>T20*Feuil2!$E$2</f>
        <v>576.47628799743006</v>
      </c>
      <c r="AJ20" s="3">
        <f>U20*Feuil2!$F$3</f>
        <v>319.08098007436365</v>
      </c>
      <c r="AK20" s="3">
        <f>V20*Feuil2!$G$3</f>
        <v>601.49041341679788</v>
      </c>
      <c r="AL20" s="3">
        <f>W20*Feuil2!$H$3</f>
        <v>548.72456267634027</v>
      </c>
      <c r="AM20" s="3">
        <f>X20*Feuil2!$I$2</f>
        <v>0</v>
      </c>
      <c r="AN20" s="3">
        <f>Y20*Feuil2!$J$3</f>
        <v>299.54282189747397</v>
      </c>
      <c r="AO20" s="3">
        <f>Z20*Feuil2!$K$3</f>
        <v>381.32662302070645</v>
      </c>
      <c r="AP20" s="3">
        <f>AA20*Feuil2!$L$3</f>
        <v>379.56761284830884</v>
      </c>
      <c r="AQ20" s="3">
        <f>AB20*Feuil2!$M$3</f>
        <v>489.73167182227223</v>
      </c>
      <c r="AR20" s="3">
        <f>AC20*Feuil2!$N$3</f>
        <v>4461.5253892102019</v>
      </c>
    </row>
    <row r="21" spans="1:44" x14ac:dyDescent="0.35">
      <c r="A21" t="s">
        <v>48</v>
      </c>
      <c r="B21" t="s">
        <v>49</v>
      </c>
      <c r="C21">
        <v>369</v>
      </c>
      <c r="D21">
        <v>429</v>
      </c>
      <c r="E21">
        <v>164</v>
      </c>
      <c r="F21">
        <v>131</v>
      </c>
      <c r="G21">
        <v>306</v>
      </c>
      <c r="H21">
        <v>210</v>
      </c>
      <c r="I21">
        <v>611</v>
      </c>
      <c r="J21">
        <v>10</v>
      </c>
      <c r="K21">
        <v>513</v>
      </c>
      <c r="L21">
        <v>259</v>
      </c>
      <c r="M21">
        <v>587</v>
      </c>
      <c r="N21">
        <v>587</v>
      </c>
      <c r="O21">
        <v>4176</v>
      </c>
      <c r="Q21" s="1">
        <f>C21/$C$434</f>
        <v>9.1090868695845369E-3</v>
      </c>
      <c r="R21" s="1">
        <f t="shared" si="5"/>
        <v>1.8084478543124526E-2</v>
      </c>
      <c r="S21" s="1">
        <f t="shared" si="9"/>
        <v>5.5670593027597678E-3</v>
      </c>
      <c r="T21" s="1">
        <f t="shared" si="10"/>
        <v>5.2604103923222104E-3</v>
      </c>
      <c r="U21" s="1">
        <f t="shared" si="11"/>
        <v>1.4586709886547812E-2</v>
      </c>
      <c r="V21" s="1">
        <f t="shared" si="12"/>
        <v>7.0297593144310914E-3</v>
      </c>
      <c r="W21" s="1">
        <f t="shared" si="13"/>
        <v>1.3681759147297237E-2</v>
      </c>
      <c r="X21" s="1">
        <f t="shared" si="14"/>
        <v>5.3424511165722831E-4</v>
      </c>
      <c r="Y21" s="1">
        <f t="shared" si="15"/>
        <v>1.3129270851994983E-2</v>
      </c>
      <c r="Z21" s="1">
        <f t="shared" si="6"/>
        <v>6.5722695899309786E-3</v>
      </c>
      <c r="AA21" s="1">
        <f t="shared" si="2"/>
        <v>1.4695941716946648E-2</v>
      </c>
      <c r="AB21" s="1">
        <f t="shared" si="3"/>
        <v>2.0634139482564678E-2</v>
      </c>
      <c r="AC21" s="1">
        <f t="shared" si="4"/>
        <v>1.0998388167251351E-2</v>
      </c>
      <c r="AD21" s="1" t="str">
        <f t="shared" si="7"/>
        <v>CAEN NORD AUTOMOBILES</v>
      </c>
      <c r="AE21" s="1" t="str">
        <f t="shared" si="8"/>
        <v>3025</v>
      </c>
      <c r="AF21" s="3">
        <f>Q21*Feuil2!$B$3</f>
        <v>322.23321928460342</v>
      </c>
      <c r="AG21" s="3">
        <f>R21*Feuil2!$C$3</f>
        <v>639.73698170474665</v>
      </c>
      <c r="AH21" s="3">
        <f>S21*Feuil2!$D$3</f>
        <v>218.77318306799282</v>
      </c>
      <c r="AI21" s="3">
        <f>T21*Feuil2!$E$2</f>
        <v>197.17596273541341</v>
      </c>
      <c r="AJ21" s="3">
        <f>U21*Feuil2!$F$3</f>
        <v>372.66709886547812</v>
      </c>
      <c r="AK21" s="3">
        <f>V21*Feuil2!$G$3</f>
        <v>283.21297492719179</v>
      </c>
      <c r="AL21" s="3">
        <f>W21*Feuil2!$H$3</f>
        <v>497.4342845626764</v>
      </c>
      <c r="AM21" s="3">
        <f>X21*Feuil2!$I$2</f>
        <v>11.412544075221712</v>
      </c>
      <c r="AN21" s="3">
        <f>Y21*Feuil2!$J$3</f>
        <v>554.74898062600778</v>
      </c>
      <c r="AO21" s="3">
        <f>Z21*Feuil2!$K$3</f>
        <v>264.78175700365409</v>
      </c>
      <c r="AP21" s="3">
        <f>AA21*Feuil2!$L$3</f>
        <v>534.30740705505343</v>
      </c>
      <c r="AQ21" s="3">
        <f>AB21*Feuil2!$M$3</f>
        <v>689.38247328458942</v>
      </c>
      <c r="AR21" s="3">
        <f>AC21*Feuil2!$N$3</f>
        <v>4604.8764274201203</v>
      </c>
    </row>
    <row r="22" spans="1:44" x14ac:dyDescent="0.35">
      <c r="A22" t="s">
        <v>50</v>
      </c>
      <c r="B22" t="s">
        <v>51</v>
      </c>
      <c r="C22">
        <v>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1081</v>
      </c>
      <c r="L22">
        <v>969</v>
      </c>
      <c r="M22">
        <v>994</v>
      </c>
      <c r="N22">
        <v>994</v>
      </c>
      <c r="O22">
        <v>4452</v>
      </c>
      <c r="Q22" s="1">
        <f>C22/$C$434</f>
        <v>1.0219951121972895E-2</v>
      </c>
      <c r="R22" s="1">
        <f t="shared" si="5"/>
        <v>0</v>
      </c>
      <c r="S22" s="1">
        <f t="shared" si="9"/>
        <v>0</v>
      </c>
      <c r="T22" s="1">
        <f t="shared" si="10"/>
        <v>0</v>
      </c>
      <c r="U22" s="1">
        <f t="shared" si="11"/>
        <v>0</v>
      </c>
      <c r="V22" s="1">
        <f t="shared" si="12"/>
        <v>0</v>
      </c>
      <c r="W22" s="1">
        <f t="shared" si="13"/>
        <v>0</v>
      </c>
      <c r="X22" s="1">
        <f t="shared" si="14"/>
        <v>0</v>
      </c>
      <c r="Y22" s="1">
        <f t="shared" si="15"/>
        <v>2.7666163335295473E-2</v>
      </c>
      <c r="Z22" s="1">
        <f t="shared" si="6"/>
        <v>2.4588915956151036E-2</v>
      </c>
      <c r="AA22" s="1">
        <f t="shared" si="2"/>
        <v>2.4885461783040835E-2</v>
      </c>
      <c r="AB22" s="1">
        <f t="shared" si="3"/>
        <v>3.4940944881889764E-2</v>
      </c>
      <c r="AC22" s="1">
        <f t="shared" si="4"/>
        <v>1.1725293132328308E-2</v>
      </c>
      <c r="AD22" s="1" t="str">
        <f t="shared" si="7"/>
        <v>MARY AUTOMOBILES CHERBOURG</v>
      </c>
      <c r="AE22" s="1" t="str">
        <f t="shared" si="8"/>
        <v>4001</v>
      </c>
      <c r="AF22" s="3">
        <f>Q22*Feuil2!$B$3</f>
        <v>361.52995334370138</v>
      </c>
      <c r="AG22" s="3">
        <f>R22*Feuil2!$C$3</f>
        <v>0</v>
      </c>
      <c r="AH22" s="3">
        <f>S22*Feuil2!$D$3</f>
        <v>0</v>
      </c>
      <c r="AI22" s="3">
        <f>T22*Feuil2!$E$2</f>
        <v>0</v>
      </c>
      <c r="AJ22" s="3">
        <f>U22*Feuil2!$F$3</f>
        <v>0</v>
      </c>
      <c r="AK22" s="3">
        <f>V22*Feuil2!$G$3</f>
        <v>0</v>
      </c>
      <c r="AL22" s="3">
        <f>W22*Feuil2!$H$3</f>
        <v>0</v>
      </c>
      <c r="AM22" s="3">
        <f>X22*Feuil2!$I$2</f>
        <v>0</v>
      </c>
      <c r="AN22" s="3">
        <f>Y22*Feuil2!$J$3</f>
        <v>1168.9739728201062</v>
      </c>
      <c r="AO22" s="3">
        <f>Z22*Feuil2!$K$3</f>
        <v>990.63136114494523</v>
      </c>
      <c r="AP22" s="3">
        <f>AA22*Feuil2!$L$3</f>
        <v>904.77267906767156</v>
      </c>
      <c r="AQ22" s="3">
        <f>AB22*Feuil2!$M$3</f>
        <v>1167.3699803149607</v>
      </c>
      <c r="AR22" s="3">
        <f>AC22*Feuil2!$N$3</f>
        <v>4909.2217085427137</v>
      </c>
    </row>
    <row r="23" spans="1:44" x14ac:dyDescent="0.35">
      <c r="A23" t="s">
        <v>52</v>
      </c>
      <c r="B23" t="s">
        <v>53</v>
      </c>
      <c r="C23">
        <v>480</v>
      </c>
      <c r="D23">
        <v>118</v>
      </c>
      <c r="E23">
        <v>0</v>
      </c>
      <c r="F23">
        <v>369</v>
      </c>
      <c r="G23">
        <v>40</v>
      </c>
      <c r="H23">
        <v>443</v>
      </c>
      <c r="I23">
        <v>212</v>
      </c>
      <c r="J23">
        <v>104</v>
      </c>
      <c r="K23">
        <v>292</v>
      </c>
      <c r="L23">
        <v>932</v>
      </c>
      <c r="M23">
        <v>460</v>
      </c>
      <c r="N23">
        <v>460</v>
      </c>
      <c r="O23">
        <v>3910</v>
      </c>
      <c r="Q23" s="1">
        <f>C23/$C$434</f>
        <v>1.1849218692142487E-2</v>
      </c>
      <c r="R23" s="1">
        <f t="shared" si="5"/>
        <v>4.9742854734002194E-3</v>
      </c>
      <c r="S23" s="1">
        <f t="shared" si="9"/>
        <v>0</v>
      </c>
      <c r="T23" s="1">
        <f t="shared" si="10"/>
        <v>1.4817491868449585E-2</v>
      </c>
      <c r="U23" s="1">
        <f t="shared" si="11"/>
        <v>1.9067594622938315E-3</v>
      </c>
      <c r="V23" s="1">
        <f t="shared" si="12"/>
        <v>1.4829444649014161E-2</v>
      </c>
      <c r="W23" s="1">
        <f t="shared" si="13"/>
        <v>4.7471897532357027E-3</v>
      </c>
      <c r="X23" s="1">
        <f t="shared" si="14"/>
        <v>5.5561491612351743E-3</v>
      </c>
      <c r="Y23" s="1">
        <f t="shared" si="15"/>
        <v>7.4731912062037725E-3</v>
      </c>
      <c r="Z23" s="1">
        <f t="shared" si="6"/>
        <v>2.3650020300446609E-2</v>
      </c>
      <c r="AA23" s="1">
        <f t="shared" si="2"/>
        <v>1.1516410885511854E-2</v>
      </c>
      <c r="AB23" s="1">
        <f t="shared" si="3"/>
        <v>1.6169853768278966E-2</v>
      </c>
      <c r="AC23" s="1">
        <f t="shared" si="4"/>
        <v>1.0297820338590226E-2</v>
      </c>
      <c r="AD23" s="1" t="str">
        <f t="shared" si="7"/>
        <v>AF AUTOS</v>
      </c>
      <c r="AE23" s="1" t="str">
        <f t="shared" si="8"/>
        <v>5217</v>
      </c>
      <c r="AF23" s="3">
        <f>Q23*Feuil2!$B$3</f>
        <v>419.16516329704507</v>
      </c>
      <c r="AG23" s="3">
        <f>R23*Feuil2!$C$3</f>
        <v>175.96495067869489</v>
      </c>
      <c r="AH23" s="3">
        <f>S23*Feuil2!$D$3</f>
        <v>0</v>
      </c>
      <c r="AI23" s="3">
        <f>T23*Feuil2!$E$2</f>
        <v>555.40404770509576</v>
      </c>
      <c r="AJ23" s="3">
        <f>U23*Feuil2!$F$3</f>
        <v>48.714653446467729</v>
      </c>
      <c r="AK23" s="3">
        <f>V23*Feuil2!$G$3</f>
        <v>597.44451377498081</v>
      </c>
      <c r="AL23" s="3">
        <f>W23*Feuil2!$H$3</f>
        <v>172.59585650947201</v>
      </c>
      <c r="AM23" s="3">
        <f>X23*Feuil2!$I$2</f>
        <v>118.69045838230579</v>
      </c>
      <c r="AN23" s="3">
        <f>Y23*Feuil2!$J$3</f>
        <v>315.76355232513504</v>
      </c>
      <c r="AO23" s="3">
        <f>Z23*Feuil2!$K$3</f>
        <v>952.80539585870895</v>
      </c>
      <c r="AP23" s="3">
        <f>AA23*Feuil2!$L$3</f>
        <v>418.70767844177959</v>
      </c>
      <c r="AQ23" s="3">
        <f>AB23*Feuil2!$M$3</f>
        <v>540.2315804274466</v>
      </c>
      <c r="AR23" s="3">
        <f>AC23*Feuil2!$N$3</f>
        <v>4311.5581492367501</v>
      </c>
    </row>
    <row r="24" spans="1:44" x14ac:dyDescent="0.35">
      <c r="A24" t="s">
        <v>54</v>
      </c>
      <c r="B24" t="s">
        <v>55</v>
      </c>
      <c r="C24">
        <v>164</v>
      </c>
      <c r="D24">
        <v>122</v>
      </c>
      <c r="E24">
        <v>289</v>
      </c>
      <c r="F24">
        <v>283</v>
      </c>
      <c r="G24">
        <v>244</v>
      </c>
      <c r="H24">
        <v>707</v>
      </c>
      <c r="I24">
        <v>363</v>
      </c>
      <c r="J24">
        <v>74</v>
      </c>
      <c r="K24">
        <v>336</v>
      </c>
      <c r="L24">
        <v>577</v>
      </c>
      <c r="M24">
        <v>279</v>
      </c>
      <c r="N24">
        <v>279</v>
      </c>
      <c r="O24">
        <v>3717</v>
      </c>
      <c r="Q24" s="1">
        <f>C24/$C$434</f>
        <v>4.0484830531486828E-3</v>
      </c>
      <c r="R24" s="1">
        <f t="shared" si="5"/>
        <v>5.1429053199561585E-3</v>
      </c>
      <c r="S24" s="1">
        <f t="shared" si="9"/>
        <v>9.8102447469364199E-3</v>
      </c>
      <c r="T24" s="1">
        <f t="shared" si="10"/>
        <v>1.1364092679596836E-2</v>
      </c>
      <c r="U24" s="1">
        <f t="shared" si="11"/>
        <v>1.1631232719992373E-2</v>
      </c>
      <c r="V24" s="1">
        <f t="shared" si="12"/>
        <v>2.3666856358584676E-2</v>
      </c>
      <c r="W24" s="1">
        <f t="shared" si="13"/>
        <v>8.1284428321913207E-3</v>
      </c>
      <c r="X24" s="1">
        <f t="shared" si="14"/>
        <v>3.9534138262634893E-3</v>
      </c>
      <c r="Y24" s="1">
        <f t="shared" si="15"/>
        <v>8.5992885112481758E-3</v>
      </c>
      <c r="Z24" s="1">
        <f t="shared" si="6"/>
        <v>1.4641697117336582E-2</v>
      </c>
      <c r="AA24" s="1">
        <f t="shared" si="2"/>
        <v>6.9849535588213203E-3</v>
      </c>
      <c r="AB24" s="1">
        <f t="shared" si="3"/>
        <v>9.8073678290213715E-3</v>
      </c>
      <c r="AC24" s="1">
        <f t="shared" si="4"/>
        <v>9.7895136057646725E-3</v>
      </c>
      <c r="AD24" s="1" t="str">
        <f t="shared" si="7"/>
        <v>J.A CARROSSERIE</v>
      </c>
      <c r="AE24" s="1" t="str">
        <f t="shared" si="8"/>
        <v>5231</v>
      </c>
      <c r="AF24" s="3">
        <f>Q24*Feuil2!$B$3</f>
        <v>143.21476412649039</v>
      </c>
      <c r="AG24" s="3">
        <f>R24*Feuil2!$C$3</f>
        <v>181.92986426102351</v>
      </c>
      <c r="AH24" s="3">
        <f>S24*Feuil2!$D$3</f>
        <v>385.52103601615806</v>
      </c>
      <c r="AI24" s="3">
        <f>T24*Feuil2!$E$2</f>
        <v>425.96028590932821</v>
      </c>
      <c r="AJ24" s="3">
        <f>U24*Feuil2!$F$3</f>
        <v>297.15938602345318</v>
      </c>
      <c r="AK24" s="3">
        <f>V24*Feuil2!$G$3</f>
        <v>953.483682254879</v>
      </c>
      <c r="AL24" s="3">
        <f>W24*Feuil2!$H$3</f>
        <v>295.52969770253935</v>
      </c>
      <c r="AM24" s="3">
        <f>X24*Feuil2!$I$2</f>
        <v>84.452826156640654</v>
      </c>
      <c r="AN24" s="3">
        <f>Y24*Feuil2!$J$3</f>
        <v>363.34436157960738</v>
      </c>
      <c r="AO24" s="3">
        <f>Z24*Feuil2!$K$3</f>
        <v>589.88059378806338</v>
      </c>
      <c r="AP24" s="3">
        <f>AA24*Feuil2!$L$3</f>
        <v>253.955309315775</v>
      </c>
      <c r="AQ24" s="3">
        <f>AB24*Feuil2!$M$3</f>
        <v>327.66219769403824</v>
      </c>
      <c r="AR24" s="3">
        <f>AC24*Feuil2!$N$3</f>
        <v>4098.7369925097191</v>
      </c>
    </row>
    <row r="25" spans="1:44" x14ac:dyDescent="0.35">
      <c r="A25" t="s">
        <v>21</v>
      </c>
      <c r="B25" t="s">
        <v>56</v>
      </c>
      <c r="C25">
        <v>391</v>
      </c>
      <c r="D25">
        <v>277</v>
      </c>
      <c r="E25">
        <v>328</v>
      </c>
      <c r="F25">
        <v>262</v>
      </c>
      <c r="G25">
        <v>161</v>
      </c>
      <c r="H25">
        <v>447</v>
      </c>
      <c r="I25">
        <v>362</v>
      </c>
      <c r="J25">
        <v>76</v>
      </c>
      <c r="K25">
        <v>254</v>
      </c>
      <c r="L25">
        <v>344</v>
      </c>
      <c r="M25">
        <v>495</v>
      </c>
      <c r="N25">
        <v>495</v>
      </c>
      <c r="O25">
        <v>3892</v>
      </c>
      <c r="Q25" s="1">
        <f>C25/$C$434</f>
        <v>9.6521760596410683E-3</v>
      </c>
      <c r="R25" s="1">
        <f t="shared" si="5"/>
        <v>1.167692437399882E-2</v>
      </c>
      <c r="S25" s="1">
        <f t="shared" si="9"/>
        <v>1.1134118605519536E-2</v>
      </c>
      <c r="T25" s="1">
        <f t="shared" si="10"/>
        <v>1.0520820784644421E-2</v>
      </c>
      <c r="U25" s="1">
        <f t="shared" si="11"/>
        <v>7.6747068357326722E-3</v>
      </c>
      <c r="V25" s="1">
        <f t="shared" si="12"/>
        <v>1.4963344826431895E-2</v>
      </c>
      <c r="W25" s="1">
        <f t="shared" si="13"/>
        <v>8.1060504276949264E-3</v>
      </c>
      <c r="X25" s="1">
        <f t="shared" si="14"/>
        <v>4.060262848594935E-3</v>
      </c>
      <c r="Y25" s="1">
        <f t="shared" si="15"/>
        <v>6.5006526245745145E-3</v>
      </c>
      <c r="Z25" s="1">
        <f t="shared" si="6"/>
        <v>8.7291920422249286E-3</v>
      </c>
      <c r="AA25" s="1">
        <f t="shared" si="2"/>
        <v>1.2392659539844277E-2</v>
      </c>
      <c r="AB25" s="1">
        <f t="shared" si="3"/>
        <v>1.7400168728908885E-2</v>
      </c>
      <c r="AC25" s="1">
        <f t="shared" si="4"/>
        <v>1.0250413493041729E-2</v>
      </c>
      <c r="AD25" s="1" t="str">
        <f t="shared" si="7"/>
        <v>MARY AUTOMOBILES COMMERCES ET</v>
      </c>
      <c r="AE25" s="1" t="str">
        <f t="shared" si="8"/>
        <v>3038</v>
      </c>
      <c r="AF25" s="3">
        <f>Q25*Feuil2!$B$3</f>
        <v>341.44495593571799</v>
      </c>
      <c r="AG25" s="3">
        <f>R25*Feuil2!$C$3</f>
        <v>413.07026557625829</v>
      </c>
      <c r="AH25" s="3">
        <f>S25*Feuil2!$D$3</f>
        <v>437.54636613598564</v>
      </c>
      <c r="AI25" s="3">
        <f>T25*Feuil2!$E$2</f>
        <v>394.35192547082681</v>
      </c>
      <c r="AJ25" s="3">
        <f>U25*Feuil2!$F$3</f>
        <v>196.07648012203262</v>
      </c>
      <c r="AK25" s="3">
        <f>V25*Feuil2!$G$3</f>
        <v>602.83904663073679</v>
      </c>
      <c r="AL25" s="3">
        <f>W25*Feuil2!$H$3</f>
        <v>294.71556630390978</v>
      </c>
      <c r="AM25" s="3">
        <f>X25*Feuil2!$I$2</f>
        <v>86.735334971685006</v>
      </c>
      <c r="AN25" s="3">
        <f>Y25*Feuil2!$J$3</f>
        <v>274.67103524172705</v>
      </c>
      <c r="AO25" s="3">
        <f>Z25*Feuil2!$K$3</f>
        <v>351.67924482338611</v>
      </c>
      <c r="AP25" s="3">
        <f>AA25*Feuil2!$L$3</f>
        <v>450.56587136669754</v>
      </c>
      <c r="AQ25" s="3">
        <f>AB25*Feuil2!$M$3</f>
        <v>581.33615719910017</v>
      </c>
      <c r="AR25" s="3">
        <f>AC25*Feuil2!$N$3</f>
        <v>4291.7095439461464</v>
      </c>
    </row>
    <row r="26" spans="1:44" x14ac:dyDescent="0.35">
      <c r="A26" t="s">
        <v>57</v>
      </c>
      <c r="B26" t="s">
        <v>58</v>
      </c>
      <c r="C26">
        <v>429</v>
      </c>
      <c r="D26">
        <v>202</v>
      </c>
      <c r="E26">
        <v>350</v>
      </c>
      <c r="F26">
        <v>98</v>
      </c>
      <c r="G26">
        <v>417</v>
      </c>
      <c r="H26">
        <v>228</v>
      </c>
      <c r="I26">
        <v>354</v>
      </c>
      <c r="J26">
        <v>37</v>
      </c>
      <c r="K26">
        <v>442</v>
      </c>
      <c r="L26">
        <v>196</v>
      </c>
      <c r="M26">
        <v>547</v>
      </c>
      <c r="N26">
        <v>547</v>
      </c>
      <c r="O26">
        <v>3847</v>
      </c>
      <c r="Q26" s="1">
        <f>C26/$C$434</f>
        <v>1.0590239206102348E-2</v>
      </c>
      <c r="R26" s="1">
        <f t="shared" si="5"/>
        <v>8.5153022510749514E-3</v>
      </c>
      <c r="S26" s="1">
        <f t="shared" si="9"/>
        <v>1.1880919243694627E-2</v>
      </c>
      <c r="T26" s="1">
        <f t="shared" si="10"/>
        <v>3.9352688431112713E-3</v>
      </c>
      <c r="U26" s="1">
        <f t="shared" si="11"/>
        <v>1.9877967394413196E-2</v>
      </c>
      <c r="V26" s="1">
        <f t="shared" si="12"/>
        <v>7.6323101128108993E-3</v>
      </c>
      <c r="W26" s="1">
        <f t="shared" si="13"/>
        <v>7.9269111917237671E-3</v>
      </c>
      <c r="X26" s="1">
        <f t="shared" si="14"/>
        <v>1.9767069131317446E-3</v>
      </c>
      <c r="Y26" s="1">
        <f t="shared" si="15"/>
        <v>1.1312159291582422E-2</v>
      </c>
      <c r="Z26" s="1">
        <f t="shared" si="6"/>
        <v>4.9736094194072272E-3</v>
      </c>
      <c r="AA26" s="1">
        <f t="shared" si="2"/>
        <v>1.369451468342388E-2</v>
      </c>
      <c r="AB26" s="1">
        <f t="shared" si="3"/>
        <v>1.9228065241844769E-2</v>
      </c>
      <c r="AC26" s="1">
        <f t="shared" si="4"/>
        <v>1.0131896379170486E-2</v>
      </c>
      <c r="AD26" s="1" t="str">
        <f t="shared" si="7"/>
        <v>PATRY Ste Honorine du Fay</v>
      </c>
      <c r="AE26" s="1" t="str">
        <f t="shared" si="8"/>
        <v>3029</v>
      </c>
      <c r="AF26" s="3">
        <f>Q26*Feuil2!$B$3</f>
        <v>374.62886469673407</v>
      </c>
      <c r="AG26" s="3">
        <f>R26*Feuil2!$C$3</f>
        <v>301.22813590759631</v>
      </c>
      <c r="AH26" s="3">
        <f>S26*Feuil2!$D$3</f>
        <v>466.89398825486273</v>
      </c>
      <c r="AI26" s="3">
        <f>T26*Feuil2!$E$2</f>
        <v>147.50568204633979</v>
      </c>
      <c r="AJ26" s="3">
        <f>U26*Feuil2!$F$3</f>
        <v>507.85026217942612</v>
      </c>
      <c r="AK26" s="3">
        <f>V26*Feuil2!$G$3</f>
        <v>307.48837277809395</v>
      </c>
      <c r="AL26" s="3">
        <f>W26*Feuil2!$H$3</f>
        <v>288.20251511487305</v>
      </c>
      <c r="AM26" s="3">
        <f>X26*Feuil2!$I$2</f>
        <v>42.226413078320327</v>
      </c>
      <c r="AN26" s="3">
        <f>Y26*Feuil2!$J$3</f>
        <v>477.97085660174548</v>
      </c>
      <c r="AO26" s="3">
        <f>Z26*Feuil2!$K$3</f>
        <v>200.37538367844095</v>
      </c>
      <c r="AP26" s="3">
        <f>AA26*Feuil2!$L$3</f>
        <v>497.89804371229008</v>
      </c>
      <c r="AQ26" s="3">
        <f>AB26*Feuil2!$M$3</f>
        <v>642.40581411698543</v>
      </c>
      <c r="AR26" s="3">
        <f>AC26*Feuil2!$N$3</f>
        <v>4242.0880307196367</v>
      </c>
    </row>
    <row r="27" spans="1:44" x14ac:dyDescent="0.35">
      <c r="A27" t="s">
        <v>59</v>
      </c>
      <c r="B27" t="s">
        <v>60</v>
      </c>
      <c r="C27">
        <v>222</v>
      </c>
      <c r="D27">
        <v>304</v>
      </c>
      <c r="E27">
        <v>354</v>
      </c>
      <c r="F27">
        <v>538</v>
      </c>
      <c r="G27">
        <v>166</v>
      </c>
      <c r="H27">
        <v>276</v>
      </c>
      <c r="I27">
        <v>82</v>
      </c>
      <c r="J27">
        <v>195</v>
      </c>
      <c r="K27">
        <v>491</v>
      </c>
      <c r="L27">
        <v>370</v>
      </c>
      <c r="M27">
        <v>183</v>
      </c>
      <c r="N27">
        <v>183</v>
      </c>
      <c r="O27">
        <v>3364</v>
      </c>
      <c r="Q27" s="1">
        <f>C27/$C$434</f>
        <v>5.4802636451158999E-3</v>
      </c>
      <c r="R27" s="1">
        <f t="shared" si="5"/>
        <v>1.2815108338251412E-2</v>
      </c>
      <c r="S27" s="1">
        <f t="shared" si="9"/>
        <v>1.201670117790828E-2</v>
      </c>
      <c r="T27" s="1">
        <f t="shared" si="10"/>
        <v>2.160382283259045E-2</v>
      </c>
      <c r="U27" s="1">
        <f t="shared" si="11"/>
        <v>7.9130517685194017E-3</v>
      </c>
      <c r="V27" s="1">
        <f t="shared" si="12"/>
        <v>9.2391122418237197E-3</v>
      </c>
      <c r="W27" s="1">
        <f t="shared" si="13"/>
        <v>1.8361771687043754E-3</v>
      </c>
      <c r="X27" s="1">
        <f t="shared" si="14"/>
        <v>1.0417779677315952E-2</v>
      </c>
      <c r="Y27" s="1">
        <f t="shared" si="15"/>
        <v>1.2566222199472782E-2</v>
      </c>
      <c r="Z27" s="1">
        <f t="shared" si="6"/>
        <v>9.3889565570442549E-3</v>
      </c>
      <c r="AA27" s="1">
        <f t="shared" si="2"/>
        <v>4.5815286783666724E-3</v>
      </c>
      <c r="AB27" s="1">
        <f t="shared" si="3"/>
        <v>6.432789651293588E-3</v>
      </c>
      <c r="AC27" s="1">
        <f t="shared" si="4"/>
        <v>8.859812690285811E-3</v>
      </c>
      <c r="AD27" s="1" t="str">
        <f t="shared" si="7"/>
        <v>DAVOUST - AVPC</v>
      </c>
      <c r="AE27" s="1" t="str">
        <f t="shared" si="8"/>
        <v>403339</v>
      </c>
      <c r="AF27" s="3">
        <f>Q27*Feuil2!$B$3</f>
        <v>193.86388802488335</v>
      </c>
      <c r="AG27" s="3">
        <f>R27*Feuil2!$C$3</f>
        <v>453.33343225697661</v>
      </c>
      <c r="AH27" s="3">
        <f>S27*Feuil2!$D$3</f>
        <v>472.229919549204</v>
      </c>
      <c r="AI27" s="3">
        <f>T27*Feuil2!$E$2</f>
        <v>809.77609123398781</v>
      </c>
      <c r="AJ27" s="3">
        <f>U27*Feuil2!$F$3</f>
        <v>202.16581180284109</v>
      </c>
      <c r="AK27" s="3">
        <f>V27*Feuil2!$G$3</f>
        <v>372.22276704716631</v>
      </c>
      <c r="AL27" s="3">
        <f>W27*Feuil2!$H$3</f>
        <v>66.758774687625959</v>
      </c>
      <c r="AM27" s="3">
        <f>X27*Feuil2!$I$2</f>
        <v>222.54460946682337</v>
      </c>
      <c r="AN27" s="3">
        <f>Y27*Feuil2!$J$3</f>
        <v>530.95857599877161</v>
      </c>
      <c r="AO27" s="3">
        <f>Z27*Feuil2!$K$3</f>
        <v>378.259652862363</v>
      </c>
      <c r="AP27" s="3">
        <f>AA27*Feuil2!$L$3</f>
        <v>166.57283729314273</v>
      </c>
      <c r="AQ27" s="3">
        <f>AB27*Feuil2!$M$3</f>
        <v>214.91821569178853</v>
      </c>
      <c r="AR27" s="3">
        <f>AC27*Feuil2!$N$3</f>
        <v>3709.4837887550966</v>
      </c>
    </row>
    <row r="28" spans="1:44" x14ac:dyDescent="0.35">
      <c r="A28" t="s">
        <v>61</v>
      </c>
      <c r="B28" t="s">
        <v>62</v>
      </c>
      <c r="C28">
        <v>553</v>
      </c>
      <c r="D28">
        <v>237</v>
      </c>
      <c r="E28">
        <v>204</v>
      </c>
      <c r="F28">
        <v>90</v>
      </c>
      <c r="G28">
        <v>117</v>
      </c>
      <c r="H28">
        <v>167</v>
      </c>
      <c r="I28">
        <v>859</v>
      </c>
      <c r="J28">
        <v>144</v>
      </c>
      <c r="K28">
        <v>464</v>
      </c>
      <c r="L28">
        <v>125</v>
      </c>
      <c r="M28">
        <v>190</v>
      </c>
      <c r="N28">
        <v>190</v>
      </c>
      <c r="O28">
        <v>3340</v>
      </c>
      <c r="Q28" s="1">
        <f>C28/$C$434</f>
        <v>1.3651287368239156E-2</v>
      </c>
      <c r="R28" s="1">
        <f t="shared" si="5"/>
        <v>9.9907259084394233E-3</v>
      </c>
      <c r="S28" s="1">
        <f t="shared" si="9"/>
        <v>6.9248786448962967E-3</v>
      </c>
      <c r="T28" s="1">
        <f t="shared" si="10"/>
        <v>3.6140224069389228E-3</v>
      </c>
      <c r="U28" s="1">
        <f t="shared" si="11"/>
        <v>5.5772714272094579E-3</v>
      </c>
      <c r="V28" s="1">
        <f t="shared" si="12"/>
        <v>5.5903324071904393E-3</v>
      </c>
      <c r="W28" s="1">
        <f t="shared" si="13"/>
        <v>1.9235075462403151E-2</v>
      </c>
      <c r="X28" s="1">
        <f t="shared" si="14"/>
        <v>7.693129607864088E-3</v>
      </c>
      <c r="Y28" s="1">
        <f t="shared" si="15"/>
        <v>1.1875207944104625E-2</v>
      </c>
      <c r="Z28" s="1">
        <f t="shared" si="6"/>
        <v>3.1719447827852211E-3</v>
      </c>
      <c r="AA28" s="1">
        <f t="shared" si="2"/>
        <v>4.7567784092331575E-3</v>
      </c>
      <c r="AB28" s="1">
        <f t="shared" si="3"/>
        <v>6.6788526434195727E-3</v>
      </c>
      <c r="AC28" s="1">
        <f t="shared" si="4"/>
        <v>8.7966035628878145E-3</v>
      </c>
      <c r="AD28" s="1" t="str">
        <f t="shared" si="7"/>
        <v>MARY AUTOMOBILES VIRE</v>
      </c>
      <c r="AE28" s="1" t="str">
        <f t="shared" si="8"/>
        <v>1017</v>
      </c>
      <c r="AF28" s="3">
        <f>Q28*Feuil2!$B$3</f>
        <v>482.91319854847063</v>
      </c>
      <c r="AG28" s="3">
        <f>R28*Feuil2!$C$3</f>
        <v>353.42112975297192</v>
      </c>
      <c r="AH28" s="3">
        <f>S28*Feuil2!$D$3</f>
        <v>272.13249601140569</v>
      </c>
      <c r="AI28" s="3">
        <f>T28*Feuil2!$E$2</f>
        <v>135.46440187929164</v>
      </c>
      <c r="AJ28" s="3">
        <f>U28*Feuil2!$F$3</f>
        <v>142.49036133091812</v>
      </c>
      <c r="AK28" s="3">
        <f>V28*Feuil2!$G$3</f>
        <v>225.22174672781441</v>
      </c>
      <c r="AL28" s="3">
        <f>W28*Feuil2!$H$3</f>
        <v>699.33887142281344</v>
      </c>
      <c r="AM28" s="3">
        <f>X28*Feuil2!$I$2</f>
        <v>164.34063468319266</v>
      </c>
      <c r="AN28" s="3">
        <f>Y28*Feuil2!$J$3</f>
        <v>501.76126122898171</v>
      </c>
      <c r="AO28" s="3">
        <f>Z28*Feuil2!$K$3</f>
        <v>127.79042326431181</v>
      </c>
      <c r="AP28" s="3">
        <f>AA28*Feuil2!$L$3</f>
        <v>172.94447587812635</v>
      </c>
      <c r="AQ28" s="3">
        <f>AB28*Feuil2!$M$3</f>
        <v>223.13913104611925</v>
      </c>
      <c r="AR28" s="3">
        <f>AC28*Feuil2!$N$3</f>
        <v>3683.0189817009582</v>
      </c>
    </row>
    <row r="29" spans="1:44" x14ac:dyDescent="0.35">
      <c r="A29" t="s">
        <v>21</v>
      </c>
      <c r="B29" t="s">
        <v>63</v>
      </c>
      <c r="C29">
        <v>321</v>
      </c>
      <c r="D29">
        <v>250</v>
      </c>
      <c r="E29">
        <v>237</v>
      </c>
      <c r="F29">
        <v>264</v>
      </c>
      <c r="G29">
        <v>342</v>
      </c>
      <c r="H29">
        <v>239</v>
      </c>
      <c r="I29">
        <v>511</v>
      </c>
      <c r="J29">
        <v>221</v>
      </c>
      <c r="K29">
        <v>358</v>
      </c>
      <c r="L29">
        <v>201</v>
      </c>
      <c r="M29">
        <v>178</v>
      </c>
      <c r="N29">
        <v>178</v>
      </c>
      <c r="O29">
        <v>3300</v>
      </c>
      <c r="Q29" s="1">
        <f>C29/$C$434</f>
        <v>7.9241650003702875E-3</v>
      </c>
      <c r="R29" s="1">
        <f t="shared" si="5"/>
        <v>1.0538740409746228E-2</v>
      </c>
      <c r="S29" s="1">
        <f t="shared" si="9"/>
        <v>8.0450796021589322E-3</v>
      </c>
      <c r="T29" s="1">
        <f t="shared" si="10"/>
        <v>1.0601132393687507E-2</v>
      </c>
      <c r="U29" s="1">
        <f t="shared" si="11"/>
        <v>1.6302793402612259E-2</v>
      </c>
      <c r="V29" s="1">
        <f t="shared" si="12"/>
        <v>8.0005356007096708E-3</v>
      </c>
      <c r="W29" s="1">
        <f t="shared" si="13"/>
        <v>1.1442518697657755E-2</v>
      </c>
      <c r="X29" s="1">
        <f t="shared" si="14"/>
        <v>1.1806816967624745E-2</v>
      </c>
      <c r="Y29" s="1">
        <f t="shared" si="15"/>
        <v>9.1623371637703788E-3</v>
      </c>
      <c r="Z29" s="1">
        <f t="shared" si="6"/>
        <v>5.100487210718636E-3</v>
      </c>
      <c r="AA29" s="1">
        <f t="shared" si="2"/>
        <v>4.4563502991763265E-3</v>
      </c>
      <c r="AB29" s="1">
        <f t="shared" si="3"/>
        <v>6.2570303712035993E-3</v>
      </c>
      <c r="AC29" s="1">
        <f t="shared" si="4"/>
        <v>8.6912550172244876E-3</v>
      </c>
      <c r="AD29" s="1" t="str">
        <f t="shared" si="7"/>
        <v>MARY AUTOMOBILES COMMERCES ET</v>
      </c>
      <c r="AE29" s="1" t="str">
        <f t="shared" si="8"/>
        <v>3032</v>
      </c>
      <c r="AF29" s="3">
        <f>Q29*Feuil2!$B$3</f>
        <v>280.31670295489886</v>
      </c>
      <c r="AG29" s="3">
        <f>R29*Feuil2!$C$3</f>
        <v>372.80709889554004</v>
      </c>
      <c r="AH29" s="3">
        <f>S29*Feuil2!$D$3</f>
        <v>316.15392918972128</v>
      </c>
      <c r="AI29" s="3">
        <f>T29*Feuil2!$E$2</f>
        <v>397.36224551258886</v>
      </c>
      <c r="AJ29" s="3">
        <f>U29*Feuil2!$F$3</f>
        <v>416.51028696729907</v>
      </c>
      <c r="AK29" s="3">
        <f>V29*Feuil2!$G$3</f>
        <v>322.32333813142304</v>
      </c>
      <c r="AL29" s="3">
        <f>W29*Feuil2!$H$3</f>
        <v>416.02114469971792</v>
      </c>
      <c r="AM29" s="3">
        <f>X29*Feuil2!$I$2</f>
        <v>252.21722406239982</v>
      </c>
      <c r="AN29" s="3">
        <f>Y29*Feuil2!$J$3</f>
        <v>387.13476620684366</v>
      </c>
      <c r="AO29" s="3">
        <f>Z29*Feuil2!$K$3</f>
        <v>205.48700060901342</v>
      </c>
      <c r="AP29" s="3">
        <f>AA29*Feuil2!$L$3</f>
        <v>162.02166687529731</v>
      </c>
      <c r="AQ29" s="3">
        <f>AB29*Feuil2!$M$3</f>
        <v>209.04613329583802</v>
      </c>
      <c r="AR29" s="3">
        <f>AC29*Feuil2!$N$3</f>
        <v>3638.9109699440605</v>
      </c>
    </row>
    <row r="30" spans="1:44" x14ac:dyDescent="0.35">
      <c r="A30" t="s">
        <v>64</v>
      </c>
      <c r="B30" t="s">
        <v>65</v>
      </c>
      <c r="C30">
        <v>233</v>
      </c>
      <c r="D30">
        <v>277</v>
      </c>
      <c r="E30">
        <v>170</v>
      </c>
      <c r="F30">
        <v>585</v>
      </c>
      <c r="G30">
        <v>56</v>
      </c>
      <c r="H30">
        <v>641</v>
      </c>
      <c r="I30">
        <v>70</v>
      </c>
      <c r="J30">
        <v>53</v>
      </c>
      <c r="K30">
        <v>284</v>
      </c>
      <c r="L30">
        <v>157</v>
      </c>
      <c r="M30">
        <v>569</v>
      </c>
      <c r="N30">
        <v>569</v>
      </c>
      <c r="O30">
        <v>3664</v>
      </c>
      <c r="Q30" s="1">
        <f>C30/$C$434</f>
        <v>5.7518082401441656E-3</v>
      </c>
      <c r="R30" s="1">
        <f t="shared" si="5"/>
        <v>1.167692437399882E-2</v>
      </c>
      <c r="S30" s="1">
        <f t="shared" si="9"/>
        <v>5.7707322040802473E-3</v>
      </c>
      <c r="T30" s="1">
        <f t="shared" si="10"/>
        <v>2.3491145645103E-2</v>
      </c>
      <c r="U30" s="1">
        <f t="shared" si="11"/>
        <v>2.6694632472113642E-3</v>
      </c>
      <c r="V30" s="1">
        <f t="shared" si="12"/>
        <v>2.1457503431192047E-2</v>
      </c>
      <c r="W30" s="1">
        <f t="shared" si="13"/>
        <v>1.5674683147476377E-3</v>
      </c>
      <c r="X30" s="1">
        <f t="shared" si="14"/>
        <v>2.83149909178331E-3</v>
      </c>
      <c r="Y30" s="1">
        <f t="shared" si="15"/>
        <v>7.2684462416502445E-3</v>
      </c>
      <c r="Z30" s="1">
        <f t="shared" si="6"/>
        <v>3.9839626471782378E-3</v>
      </c>
      <c r="AA30" s="1">
        <f t="shared" si="2"/>
        <v>1.4245299551861403E-2</v>
      </c>
      <c r="AB30" s="1">
        <f t="shared" si="3"/>
        <v>2.0001406074240721E-2</v>
      </c>
      <c r="AC30" s="1">
        <f t="shared" si="4"/>
        <v>9.6499267827607638E-3</v>
      </c>
      <c r="AD30" s="1" t="str">
        <f t="shared" si="7"/>
        <v>ARMAND</v>
      </c>
      <c r="AE30" s="1" t="str">
        <f t="shared" si="8"/>
        <v>3006</v>
      </c>
      <c r="AF30" s="3">
        <f>Q30*Feuil2!$B$3</f>
        <v>203.46975635044063</v>
      </c>
      <c r="AG30" s="3">
        <f>R30*Feuil2!$C$3</f>
        <v>413.07026557625829</v>
      </c>
      <c r="AH30" s="3">
        <f>S30*Feuil2!$D$3</f>
        <v>226.77708000950477</v>
      </c>
      <c r="AI30" s="3">
        <f>T30*Feuil2!$E$2</f>
        <v>880.51861221539571</v>
      </c>
      <c r="AJ30" s="3">
        <f>U30*Feuil2!$F$3</f>
        <v>68.200514825054825</v>
      </c>
      <c r="AK30" s="3">
        <f>V30*Feuil2!$G$3</f>
        <v>864.47389013490442</v>
      </c>
      <c r="AL30" s="3">
        <f>W30*Feuil2!$H$3</f>
        <v>56.989197904070949</v>
      </c>
      <c r="AM30" s="3">
        <f>X30*Feuil2!$I$2</f>
        <v>60.486483598675072</v>
      </c>
      <c r="AN30" s="3">
        <f>Y30*Feuil2!$J$3</f>
        <v>307.11249609704913</v>
      </c>
      <c r="AO30" s="3">
        <f>Z30*Feuil2!$K$3</f>
        <v>160.50477161997563</v>
      </c>
      <c r="AP30" s="3">
        <f>AA30*Feuil2!$L$3</f>
        <v>517.92319355080997</v>
      </c>
      <c r="AQ30" s="3">
        <f>AB30*Feuil2!$M$3</f>
        <v>668.24297665916765</v>
      </c>
      <c r="AR30" s="3">
        <f>AC30*Feuil2!$N$3</f>
        <v>4040.2938769318293</v>
      </c>
    </row>
    <row r="31" spans="1:44" x14ac:dyDescent="0.35">
      <c r="A31" t="s">
        <v>66</v>
      </c>
      <c r="B31" t="s">
        <v>67</v>
      </c>
      <c r="C31">
        <v>159</v>
      </c>
      <c r="D31">
        <v>188</v>
      </c>
      <c r="E31">
        <v>436</v>
      </c>
      <c r="F31">
        <v>242</v>
      </c>
      <c r="G31">
        <v>171</v>
      </c>
      <c r="H31">
        <v>175</v>
      </c>
      <c r="I31">
        <v>399</v>
      </c>
      <c r="J31">
        <v>104</v>
      </c>
      <c r="K31">
        <v>374</v>
      </c>
      <c r="L31">
        <v>218</v>
      </c>
      <c r="M31">
        <v>381</v>
      </c>
      <c r="N31">
        <v>381</v>
      </c>
      <c r="O31">
        <v>3228</v>
      </c>
      <c r="Q31" s="1">
        <f>C31/$C$434</f>
        <v>3.9250536917721989E-3</v>
      </c>
      <c r="R31" s="1">
        <f t="shared" si="5"/>
        <v>7.9251327881291623E-3</v>
      </c>
      <c r="S31" s="1">
        <f t="shared" si="9"/>
        <v>1.4800230829288163E-2</v>
      </c>
      <c r="T31" s="1">
        <f t="shared" si="10"/>
        <v>9.7177046942135484E-3</v>
      </c>
      <c r="U31" s="1">
        <f t="shared" si="11"/>
        <v>8.1513967013061295E-3</v>
      </c>
      <c r="V31" s="1">
        <f t="shared" si="12"/>
        <v>5.8581327620259097E-3</v>
      </c>
      <c r="W31" s="1">
        <f t="shared" si="13"/>
        <v>8.934569394061535E-3</v>
      </c>
      <c r="X31" s="1">
        <f t="shared" si="14"/>
        <v>5.5561491612351743E-3</v>
      </c>
      <c r="Y31" s="1">
        <f t="shared" si="15"/>
        <v>9.5718270928774347E-3</v>
      </c>
      <c r="Z31" s="1">
        <f t="shared" si="6"/>
        <v>5.5318717011774259E-3</v>
      </c>
      <c r="AA31" s="1">
        <f t="shared" si="2"/>
        <v>9.5385924943043841E-3</v>
      </c>
      <c r="AB31" s="1">
        <f t="shared" si="3"/>
        <v>1.3392857142857142E-2</v>
      </c>
      <c r="AC31" s="1">
        <f t="shared" si="4"/>
        <v>8.5016276350304981E-3</v>
      </c>
      <c r="AD31" s="1" t="str">
        <f t="shared" si="7"/>
        <v>FOUCHET EMMANUEL</v>
      </c>
      <c r="AE31" s="1" t="str">
        <f t="shared" si="8"/>
        <v>5415</v>
      </c>
      <c r="AF31" s="3">
        <f>Q31*Feuil2!$B$3</f>
        <v>138.84846034214618</v>
      </c>
      <c r="AG31" s="3">
        <f>R31*Feuil2!$C$3</f>
        <v>280.35093836944606</v>
      </c>
      <c r="AH31" s="3">
        <f>S31*Feuil2!$D$3</f>
        <v>581.61651108320041</v>
      </c>
      <c r="AI31" s="3">
        <f>T31*Feuil2!$E$2</f>
        <v>364.24872505320644</v>
      </c>
      <c r="AJ31" s="3">
        <f>U31*Feuil2!$F$3</f>
        <v>208.25514348364953</v>
      </c>
      <c r="AK31" s="3">
        <f>V31*Feuil2!$G$3</f>
        <v>236.01081243932649</v>
      </c>
      <c r="AL31" s="3">
        <f>W31*Feuil2!$H$3</f>
        <v>324.83842805320438</v>
      </c>
      <c r="AM31" s="3">
        <f>X31*Feuil2!$I$2</f>
        <v>118.69045838230579</v>
      </c>
      <c r="AN31" s="3">
        <f>Y31*Feuil2!$J$3</f>
        <v>404.43687866301542</v>
      </c>
      <c r="AO31" s="3">
        <f>Z31*Feuil2!$K$3</f>
        <v>222.86649817295981</v>
      </c>
      <c r="AP31" s="3">
        <f>AA31*Feuil2!$L$3</f>
        <v>346.7991858398218</v>
      </c>
      <c r="AQ31" s="3">
        <f>AB31*Feuil2!$M$3</f>
        <v>447.45267857142858</v>
      </c>
      <c r="AR31" s="3">
        <f>AC31*Feuil2!$N$3</f>
        <v>3559.5165487816444</v>
      </c>
    </row>
    <row r="32" spans="1:44" x14ac:dyDescent="0.35">
      <c r="A32" t="s">
        <v>68</v>
      </c>
      <c r="B32" t="s">
        <v>69</v>
      </c>
      <c r="C32">
        <v>787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367</v>
      </c>
      <c r="L32">
        <v>453</v>
      </c>
      <c r="M32">
        <v>1212</v>
      </c>
      <c r="N32">
        <v>1212</v>
      </c>
      <c r="O32">
        <v>4031</v>
      </c>
      <c r="Q32" s="1">
        <f>C32/$C$434</f>
        <v>1.9427781480658619E-2</v>
      </c>
      <c r="R32" s="1">
        <f t="shared" si="5"/>
        <v>0</v>
      </c>
      <c r="S32" s="1">
        <f t="shared" si="9"/>
        <v>0</v>
      </c>
      <c r="T32" s="1">
        <f t="shared" si="10"/>
        <v>0</v>
      </c>
      <c r="U32" s="1">
        <f t="shared" si="11"/>
        <v>0</v>
      </c>
      <c r="V32" s="1">
        <f t="shared" si="12"/>
        <v>0</v>
      </c>
      <c r="W32" s="1">
        <f t="shared" si="13"/>
        <v>0</v>
      </c>
      <c r="X32" s="1">
        <f t="shared" si="14"/>
        <v>0</v>
      </c>
      <c r="Y32" s="1">
        <f t="shared" si="15"/>
        <v>9.3926752488930967E-3</v>
      </c>
      <c r="Z32" s="1">
        <f t="shared" si="6"/>
        <v>1.1495127892813642E-2</v>
      </c>
      <c r="AA32" s="1">
        <f t="shared" si="2"/>
        <v>3.0343239115739929E-2</v>
      </c>
      <c r="AB32" s="1">
        <f t="shared" si="3"/>
        <v>4.2604049493813273E-2</v>
      </c>
      <c r="AC32" s="1">
        <f t="shared" si="4"/>
        <v>1.061649968922179E-2</v>
      </c>
      <c r="AD32" s="1" t="str">
        <f t="shared" si="7"/>
        <v>MARY AUTOMOBILES GRANVILLE</v>
      </c>
      <c r="AE32" s="1" t="str">
        <f t="shared" si="8"/>
        <v>2003</v>
      </c>
      <c r="AF32" s="3">
        <f>Q32*Feuil2!$B$3</f>
        <v>687.25621565578012</v>
      </c>
      <c r="AG32" s="3">
        <f>R32*Feuil2!$C$3</f>
        <v>0</v>
      </c>
      <c r="AH32" s="3">
        <f>S32*Feuil2!$D$3</f>
        <v>0</v>
      </c>
      <c r="AI32" s="3">
        <f>T32*Feuil2!$E$2</f>
        <v>0</v>
      </c>
      <c r="AJ32" s="3">
        <f>U32*Feuil2!$F$3</f>
        <v>0</v>
      </c>
      <c r="AK32" s="3">
        <f>V32*Feuil2!$G$3</f>
        <v>0</v>
      </c>
      <c r="AL32" s="3">
        <f>W32*Feuil2!$H$3</f>
        <v>0</v>
      </c>
      <c r="AM32" s="3">
        <f>X32*Feuil2!$I$2</f>
        <v>0</v>
      </c>
      <c r="AN32" s="3">
        <f>Y32*Feuil2!$J$3</f>
        <v>396.8672044634402</v>
      </c>
      <c r="AO32" s="3">
        <f>Z32*Feuil2!$K$3</f>
        <v>463.11249390986603</v>
      </c>
      <c r="AP32" s="3">
        <f>AA32*Feuil2!$L$3</f>
        <v>1103.2037092857322</v>
      </c>
      <c r="AQ32" s="3">
        <f>AB32*Feuil2!$M$3</f>
        <v>1423.3927727784028</v>
      </c>
      <c r="AR32" s="3">
        <f>AC32*Feuil2!$N$3</f>
        <v>4444.9848848013662</v>
      </c>
    </row>
    <row r="33" spans="1:44" x14ac:dyDescent="0.35">
      <c r="A33" t="s">
        <v>70</v>
      </c>
      <c r="B33" t="s">
        <v>71</v>
      </c>
      <c r="C33">
        <v>146</v>
      </c>
      <c r="D33">
        <v>223</v>
      </c>
      <c r="E33">
        <v>121</v>
      </c>
      <c r="F33">
        <v>415</v>
      </c>
      <c r="G33">
        <v>272</v>
      </c>
      <c r="H33">
        <v>236</v>
      </c>
      <c r="I33">
        <v>193</v>
      </c>
      <c r="J33">
        <v>123</v>
      </c>
      <c r="K33">
        <v>408</v>
      </c>
      <c r="L33">
        <v>90</v>
      </c>
      <c r="M33">
        <v>538</v>
      </c>
      <c r="N33">
        <v>538</v>
      </c>
      <c r="O33">
        <v>3303</v>
      </c>
      <c r="Q33" s="1">
        <f>C33/$C$434</f>
        <v>3.6041373521933399E-3</v>
      </c>
      <c r="R33" s="1">
        <f t="shared" si="5"/>
        <v>9.4005564454936342E-3</v>
      </c>
      <c r="S33" s="1">
        <f t="shared" si="9"/>
        <v>4.1074035099629997E-3</v>
      </c>
      <c r="T33" s="1">
        <f t="shared" si="10"/>
        <v>1.6664658876440589E-2</v>
      </c>
      <c r="U33" s="1">
        <f t="shared" si="11"/>
        <v>1.2965964343598054E-2</v>
      </c>
      <c r="V33" s="1">
        <f t="shared" si="12"/>
        <v>7.9001104676463697E-3</v>
      </c>
      <c r="W33" s="1">
        <f t="shared" si="13"/>
        <v>4.3217340678042004E-3</v>
      </c>
      <c r="X33" s="1">
        <f t="shared" si="14"/>
        <v>6.5712148733839083E-3</v>
      </c>
      <c r="Y33" s="1">
        <f t="shared" si="15"/>
        <v>1.0441993192229928E-2</v>
      </c>
      <c r="Z33" s="1">
        <f t="shared" si="6"/>
        <v>2.2838002436053593E-3</v>
      </c>
      <c r="AA33" s="1">
        <f t="shared" si="2"/>
        <v>1.3469193600881255E-2</v>
      </c>
      <c r="AB33" s="1">
        <f t="shared" si="3"/>
        <v>1.8911698537682788E-2</v>
      </c>
      <c r="AC33" s="1">
        <f t="shared" si="4"/>
        <v>8.6991561581492363E-3</v>
      </c>
      <c r="AD33" s="1" t="str">
        <f t="shared" si="7"/>
        <v>DU PARC</v>
      </c>
      <c r="AE33" s="1" t="str">
        <f t="shared" si="8"/>
        <v>3151</v>
      </c>
      <c r="AF33" s="3">
        <f>Q33*Feuil2!$B$3</f>
        <v>127.49607050285121</v>
      </c>
      <c r="AG33" s="3">
        <f>R33*Feuil2!$C$3</f>
        <v>332.54393221482167</v>
      </c>
      <c r="AH33" s="3">
        <f>S33*Feuil2!$D$3</f>
        <v>161.41192165382398</v>
      </c>
      <c r="AI33" s="3">
        <f>T33*Feuil2!$E$2</f>
        <v>624.64140866562263</v>
      </c>
      <c r="AJ33" s="3">
        <f>U33*Feuil2!$F$3</f>
        <v>331.25964343598054</v>
      </c>
      <c r="AK33" s="3">
        <f>V33*Feuil2!$G$3</f>
        <v>318.27743848960603</v>
      </c>
      <c r="AL33" s="3">
        <f>W33*Feuil2!$H$3</f>
        <v>157.12735993550987</v>
      </c>
      <c r="AM33" s="3">
        <f>X33*Feuil2!$I$2</f>
        <v>140.37429212522704</v>
      </c>
      <c r="AN33" s="3">
        <f>Y33*Feuil2!$J$3</f>
        <v>441.20386763238042</v>
      </c>
      <c r="AO33" s="3">
        <f>Z33*Feuil2!$K$3</f>
        <v>92.009104750304502</v>
      </c>
      <c r="AP33" s="3">
        <f>AA33*Feuil2!$L$3</f>
        <v>489.70593696016829</v>
      </c>
      <c r="AQ33" s="3">
        <f>AB33*Feuil2!$M$3</f>
        <v>631.83606580427443</v>
      </c>
      <c r="AR33" s="3">
        <f>AC33*Feuil2!$N$3</f>
        <v>3642.2190708258272</v>
      </c>
    </row>
    <row r="34" spans="1:44" x14ac:dyDescent="0.35">
      <c r="A34" t="s">
        <v>72</v>
      </c>
      <c r="B34" t="s">
        <v>73</v>
      </c>
      <c r="C34">
        <v>573</v>
      </c>
      <c r="D34">
        <v>891</v>
      </c>
      <c r="E34">
        <v>227</v>
      </c>
      <c r="F34">
        <v>383</v>
      </c>
      <c r="G34">
        <v>395</v>
      </c>
      <c r="H34">
        <v>286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2755</v>
      </c>
      <c r="Q34" s="1">
        <f>C34/$C$434</f>
        <v>1.4145004813745093E-2</v>
      </c>
      <c r="R34" s="1">
        <f t="shared" si="5"/>
        <v>3.756007082033555E-2</v>
      </c>
      <c r="S34" s="1">
        <f t="shared" si="9"/>
        <v>7.7056247666248004E-3</v>
      </c>
      <c r="T34" s="1">
        <f t="shared" si="10"/>
        <v>1.5379673131751195E-2</v>
      </c>
      <c r="U34" s="1">
        <f t="shared" si="11"/>
        <v>1.8829249690151588E-2</v>
      </c>
      <c r="V34" s="1">
        <f t="shared" si="12"/>
        <v>9.5738626853680581E-3</v>
      </c>
      <c r="W34" s="1">
        <f t="shared" si="13"/>
        <v>0</v>
      </c>
      <c r="X34" s="1">
        <f t="shared" si="14"/>
        <v>0</v>
      </c>
      <c r="Y34" s="1">
        <f t="shared" si="15"/>
        <v>0</v>
      </c>
      <c r="Z34" s="1">
        <f t="shared" si="6"/>
        <v>0</v>
      </c>
      <c r="AA34" s="1">
        <f t="shared" si="2"/>
        <v>0</v>
      </c>
      <c r="AB34" s="1">
        <f t="shared" si="3"/>
        <v>0</v>
      </c>
      <c r="AC34" s="1">
        <f t="shared" si="4"/>
        <v>7.255881082561655E-3</v>
      </c>
      <c r="AD34" s="1" t="str">
        <f t="shared" si="7"/>
        <v>GRANDE CARROSSERIE DE L ESTUAI</v>
      </c>
      <c r="AE34" s="1" t="str">
        <f t="shared" si="8"/>
        <v>5876</v>
      </c>
      <c r="AF34" s="3">
        <f>Q34*Feuil2!$B$3</f>
        <v>500.37841368584753</v>
      </c>
      <c r="AG34" s="3">
        <f>R34*Feuil2!$C$3</f>
        <v>1328.6845004637044</v>
      </c>
      <c r="AH34" s="3">
        <f>S34*Feuil2!$D$3</f>
        <v>302.81410095386809</v>
      </c>
      <c r="AI34" s="3">
        <f>T34*Feuil2!$E$2</f>
        <v>576.47628799743006</v>
      </c>
      <c r="AJ34" s="3">
        <f>U34*Feuil2!$F$3</f>
        <v>481.05720278386883</v>
      </c>
      <c r="AK34" s="3">
        <f>V34*Feuil2!$G$3</f>
        <v>385.70909918655644</v>
      </c>
      <c r="AL34" s="3">
        <f>W34*Feuil2!$H$3</f>
        <v>0</v>
      </c>
      <c r="AM34" s="3">
        <f>X34*Feuil2!$I$2</f>
        <v>0</v>
      </c>
      <c r="AN34" s="3">
        <f>Y34*Feuil2!$J$3</f>
        <v>0</v>
      </c>
      <c r="AO34" s="3">
        <f>Z34*Feuil2!$K$3</f>
        <v>0</v>
      </c>
      <c r="AP34" s="3">
        <f>AA34*Feuil2!$L$3</f>
        <v>0</v>
      </c>
      <c r="AQ34" s="3">
        <f>AB34*Feuil2!$M$3</f>
        <v>0</v>
      </c>
      <c r="AR34" s="3">
        <f>AC34*Feuil2!$N$3</f>
        <v>3037.9393097563288</v>
      </c>
    </row>
    <row r="35" spans="1:44" x14ac:dyDescent="0.35">
      <c r="A35" t="s">
        <v>74</v>
      </c>
      <c r="B35" t="s">
        <v>75</v>
      </c>
      <c r="C35">
        <v>175</v>
      </c>
      <c r="D35">
        <v>220</v>
      </c>
      <c r="E35">
        <v>97</v>
      </c>
      <c r="F35">
        <v>405</v>
      </c>
      <c r="G35">
        <v>65</v>
      </c>
      <c r="H35">
        <v>388</v>
      </c>
      <c r="I35">
        <v>322</v>
      </c>
      <c r="J35">
        <v>270</v>
      </c>
      <c r="K35">
        <v>157</v>
      </c>
      <c r="L35">
        <v>250</v>
      </c>
      <c r="M35">
        <v>405</v>
      </c>
      <c r="N35">
        <v>405</v>
      </c>
      <c r="O35">
        <v>3159</v>
      </c>
      <c r="Q35" s="1">
        <f>C35/$C$434</f>
        <v>4.3200276481769485E-3</v>
      </c>
      <c r="R35" s="1">
        <f t="shared" si="5"/>
        <v>9.2740915605766805E-3</v>
      </c>
      <c r="S35" s="1">
        <f t="shared" si="9"/>
        <v>3.292711904681082E-3</v>
      </c>
      <c r="T35" s="1">
        <f t="shared" si="10"/>
        <v>1.6263100831225154E-2</v>
      </c>
      <c r="U35" s="1">
        <f t="shared" si="11"/>
        <v>3.0984841262274763E-3</v>
      </c>
      <c r="V35" s="1">
        <f t="shared" si="12"/>
        <v>1.2988317209520303E-2</v>
      </c>
      <c r="W35" s="1">
        <f t="shared" si="13"/>
        <v>7.2103542478391333E-3</v>
      </c>
      <c r="X35" s="1">
        <f t="shared" si="14"/>
        <v>1.4424618014745165E-2</v>
      </c>
      <c r="Y35" s="1">
        <f t="shared" si="15"/>
        <v>4.0181199293629873E-3</v>
      </c>
      <c r="Z35" s="1">
        <f t="shared" si="6"/>
        <v>6.3438895655704422E-3</v>
      </c>
      <c r="AA35" s="1">
        <f t="shared" si="2"/>
        <v>1.0139448714418046E-2</v>
      </c>
      <c r="AB35" s="1">
        <f t="shared" si="3"/>
        <v>1.4236501687289089E-2</v>
      </c>
      <c r="AC35" s="1">
        <f t="shared" si="4"/>
        <v>8.319901393761259E-3</v>
      </c>
      <c r="AD35" s="1" t="str">
        <f t="shared" si="7"/>
        <v>MARY MOTOS</v>
      </c>
      <c r="AE35" s="1" t="str">
        <f t="shared" si="8"/>
        <v>3662</v>
      </c>
      <c r="AF35" s="3">
        <f>Q35*Feuil2!$B$3</f>
        <v>152.8206324520477</v>
      </c>
      <c r="AG35" s="3">
        <f>R35*Feuil2!$C$3</f>
        <v>328.07024702807519</v>
      </c>
      <c r="AH35" s="3">
        <f>S35*Feuil2!$D$3</f>
        <v>129.39633388777622</v>
      </c>
      <c r="AI35" s="3">
        <f>T35*Feuil2!$E$2</f>
        <v>609.58980845681242</v>
      </c>
      <c r="AJ35" s="3">
        <f>U35*Feuil2!$F$3</f>
        <v>79.16131185051006</v>
      </c>
      <c r="AK35" s="3">
        <f>V35*Feuil2!$G$3</f>
        <v>523.26968700833527</v>
      </c>
      <c r="AL35" s="3">
        <f>W35*Feuil2!$H$3</f>
        <v>262.15031035872636</v>
      </c>
      <c r="AM35" s="3">
        <f>X35*Feuil2!$I$2</f>
        <v>308.1386900309862</v>
      </c>
      <c r="AN35" s="3">
        <f>Y35*Feuil2!$J$3</f>
        <v>169.77697847618563</v>
      </c>
      <c r="AO35" s="3">
        <f>Z35*Feuil2!$K$3</f>
        <v>255.58084652862362</v>
      </c>
      <c r="AP35" s="3">
        <f>AA35*Feuil2!$L$3</f>
        <v>368.64480384547983</v>
      </c>
      <c r="AQ35" s="3">
        <f>AB35*Feuil2!$M$3</f>
        <v>475.63867407199103</v>
      </c>
      <c r="AR35" s="3">
        <f>AC35*Feuil2!$N$3</f>
        <v>3483.4302285009958</v>
      </c>
    </row>
    <row r="36" spans="1:44" x14ac:dyDescent="0.35">
      <c r="A36" t="s">
        <v>76</v>
      </c>
      <c r="B36" t="s">
        <v>77</v>
      </c>
      <c r="C36">
        <v>310</v>
      </c>
      <c r="D36">
        <v>17</v>
      </c>
      <c r="E36">
        <v>384</v>
      </c>
      <c r="F36">
        <v>228</v>
      </c>
      <c r="G36">
        <v>303</v>
      </c>
      <c r="H36">
        <v>0</v>
      </c>
      <c r="I36">
        <v>96</v>
      </c>
      <c r="J36">
        <v>378</v>
      </c>
      <c r="K36">
        <v>679</v>
      </c>
      <c r="L36">
        <v>29</v>
      </c>
      <c r="M36">
        <v>308</v>
      </c>
      <c r="N36">
        <v>308</v>
      </c>
      <c r="O36">
        <v>3040</v>
      </c>
      <c r="Q36" s="1">
        <f>C36/$C$434</f>
        <v>7.6526204053420227E-3</v>
      </c>
      <c r="R36" s="1">
        <f t="shared" si="5"/>
        <v>7.1663434786274345E-4</v>
      </c>
      <c r="S36" s="1">
        <f t="shared" si="9"/>
        <v>1.3035065684510676E-2</v>
      </c>
      <c r="T36" s="1">
        <f t="shared" si="10"/>
        <v>9.1555234309119386E-3</v>
      </c>
      <c r="U36" s="1">
        <f t="shared" si="11"/>
        <v>1.4443702926875775E-2</v>
      </c>
      <c r="V36" s="1">
        <f t="shared" si="12"/>
        <v>0</v>
      </c>
      <c r="W36" s="1">
        <f t="shared" si="13"/>
        <v>2.1496708316539031E-3</v>
      </c>
      <c r="X36" s="1">
        <f t="shared" si="14"/>
        <v>2.0194465220643231E-2</v>
      </c>
      <c r="Y36" s="1">
        <f t="shared" si="15"/>
        <v>1.7377728866480691E-2</v>
      </c>
      <c r="Z36" s="1">
        <f t="shared" si="6"/>
        <v>7.3589118960617139E-4</v>
      </c>
      <c r="AA36" s="1">
        <f t="shared" si="2"/>
        <v>7.710988158125329E-3</v>
      </c>
      <c r="AB36" s="1">
        <f t="shared" si="3"/>
        <v>1.0826771653543307E-2</v>
      </c>
      <c r="AC36" s="1">
        <f t="shared" si="4"/>
        <v>8.0064894704128618E-3</v>
      </c>
      <c r="AD36" s="1" t="str">
        <f t="shared" si="7"/>
        <v>DE LA GARE</v>
      </c>
      <c r="AE36" s="1" t="str">
        <f t="shared" si="8"/>
        <v>3010</v>
      </c>
      <c r="AF36" s="3">
        <f>Q36*Feuil2!$B$3</f>
        <v>270.7108346293416</v>
      </c>
      <c r="AG36" s="3">
        <f>R36*Feuil2!$C$3</f>
        <v>25.350882724896721</v>
      </c>
      <c r="AH36" s="3">
        <f>S36*Feuil2!$D$3</f>
        <v>512.24940425676368</v>
      </c>
      <c r="AI36" s="3">
        <f>T36*Feuil2!$E$2</f>
        <v>343.1764847608722</v>
      </c>
      <c r="AJ36" s="3">
        <f>U36*Feuil2!$F$3</f>
        <v>369.01349985699306</v>
      </c>
      <c r="AK36" s="3">
        <f>V36*Feuil2!$G$3</f>
        <v>0</v>
      </c>
      <c r="AL36" s="3">
        <f>W36*Feuil2!$H$3</f>
        <v>78.156614268440151</v>
      </c>
      <c r="AM36" s="3">
        <f>X36*Feuil2!$I$2</f>
        <v>431.39416604338072</v>
      </c>
      <c r="AN36" s="3">
        <f>Y36*Feuil2!$J$3</f>
        <v>734.25839735879003</v>
      </c>
      <c r="AO36" s="3">
        <f>Z36*Feuil2!$K$3</f>
        <v>29.647378197320343</v>
      </c>
      <c r="AP36" s="3">
        <f>AA36*Feuil2!$L$3</f>
        <v>280.35209773927852</v>
      </c>
      <c r="AQ36" s="3">
        <f>AB36*Feuil2!$M$3</f>
        <v>361.72027559055118</v>
      </c>
      <c r="AR36" s="3">
        <f>AC36*Feuil2!$N$3</f>
        <v>3352.2088935242255</v>
      </c>
    </row>
    <row r="37" spans="1:44" x14ac:dyDescent="0.35">
      <c r="A37" t="s">
        <v>78</v>
      </c>
      <c r="B37" t="s">
        <v>79</v>
      </c>
      <c r="C37">
        <v>174</v>
      </c>
      <c r="D37">
        <v>218</v>
      </c>
      <c r="E37">
        <v>159</v>
      </c>
      <c r="F37">
        <v>145</v>
      </c>
      <c r="G37">
        <v>452</v>
      </c>
      <c r="H37">
        <v>320</v>
      </c>
      <c r="I37">
        <v>356</v>
      </c>
      <c r="J37">
        <v>65</v>
      </c>
      <c r="K37">
        <v>334</v>
      </c>
      <c r="L37">
        <v>293</v>
      </c>
      <c r="M37">
        <v>212</v>
      </c>
      <c r="N37">
        <v>212</v>
      </c>
      <c r="O37">
        <v>2940</v>
      </c>
      <c r="Q37" s="1">
        <f>C37/$C$434</f>
        <v>4.2953417759016514E-3</v>
      </c>
      <c r="R37" s="1">
        <f t="shared" si="5"/>
        <v>9.1897816372987096E-3</v>
      </c>
      <c r="S37" s="1">
        <f t="shared" si="9"/>
        <v>5.3973318849927015E-3</v>
      </c>
      <c r="T37" s="1">
        <f t="shared" si="10"/>
        <v>5.8225916556238202E-3</v>
      </c>
      <c r="U37" s="1">
        <f t="shared" si="11"/>
        <v>2.1546381923920298E-2</v>
      </c>
      <c r="V37" s="1">
        <f t="shared" si="12"/>
        <v>1.0712014193418806E-2</v>
      </c>
      <c r="W37" s="1">
        <f t="shared" si="13"/>
        <v>7.9716960007165574E-3</v>
      </c>
      <c r="X37" s="1">
        <f t="shared" si="14"/>
        <v>3.4725932257719844E-3</v>
      </c>
      <c r="Y37" s="1">
        <f t="shared" si="15"/>
        <v>8.548102270109794E-3</v>
      </c>
      <c r="Z37" s="1">
        <f t="shared" si="6"/>
        <v>7.4350385708485582E-3</v>
      </c>
      <c r="AA37" s="1">
        <f t="shared" si="2"/>
        <v>5.3075632776706811E-3</v>
      </c>
      <c r="AB37" s="1">
        <f t="shared" si="3"/>
        <v>7.4521934758155235E-3</v>
      </c>
      <c r="AC37" s="1">
        <f t="shared" si="4"/>
        <v>7.7431181062545436E-3</v>
      </c>
      <c r="AD37" s="1" t="str">
        <f t="shared" si="7"/>
        <v>G.L.T.</v>
      </c>
      <c r="AE37" s="1" t="str">
        <f t="shared" si="8"/>
        <v>3273</v>
      </c>
      <c r="AF37" s="3">
        <f>Q37*Feuil2!$B$3</f>
        <v>151.94737169517884</v>
      </c>
      <c r="AG37" s="3">
        <f>R37*Feuil2!$C$3</f>
        <v>325.08779023691085</v>
      </c>
      <c r="AH37" s="3">
        <f>S37*Feuil2!$D$3</f>
        <v>212.10326895006619</v>
      </c>
      <c r="AI37" s="3">
        <f>T37*Feuil2!$E$2</f>
        <v>218.24820302774765</v>
      </c>
      <c r="AJ37" s="3">
        <f>U37*Feuil2!$F$3</f>
        <v>550.47558394508542</v>
      </c>
      <c r="AK37" s="3">
        <f>V37*Feuil2!$G$3</f>
        <v>431.5626284604827</v>
      </c>
      <c r="AL37" s="3">
        <f>W37*Feuil2!$H$3</f>
        <v>289.83077791213225</v>
      </c>
      <c r="AM37" s="3">
        <f>X37*Feuil2!$I$2</f>
        <v>74.181536488941134</v>
      </c>
      <c r="AN37" s="3">
        <f>Y37*Feuil2!$J$3</f>
        <v>361.18159752258595</v>
      </c>
      <c r="AO37" s="3">
        <f>Z37*Feuil2!$K$3</f>
        <v>299.54075213154687</v>
      </c>
      <c r="AP37" s="3">
        <f>AA37*Feuil2!$L$3</f>
        <v>192.96962571664625</v>
      </c>
      <c r="AQ37" s="3">
        <f>AB37*Feuil2!$M$3</f>
        <v>248.9762935883015</v>
      </c>
      <c r="AR37" s="3">
        <f>AC37*Feuil2!$N$3</f>
        <v>3241.9388641319811</v>
      </c>
    </row>
    <row r="38" spans="1:44" x14ac:dyDescent="0.35">
      <c r="A38" t="s">
        <v>80</v>
      </c>
      <c r="B38" t="s">
        <v>81</v>
      </c>
      <c r="C38">
        <v>630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319</v>
      </c>
      <c r="L38">
        <v>1141</v>
      </c>
      <c r="M38">
        <v>626</v>
      </c>
      <c r="N38">
        <v>626</v>
      </c>
      <c r="O38">
        <v>3342</v>
      </c>
      <c r="Q38" s="1">
        <f>C38/$C$434</f>
        <v>1.5552099533437015E-2</v>
      </c>
      <c r="R38" s="1">
        <f t="shared" si="5"/>
        <v>0</v>
      </c>
      <c r="S38" s="1">
        <f t="shared" si="9"/>
        <v>0</v>
      </c>
      <c r="T38" s="1">
        <f t="shared" si="10"/>
        <v>0</v>
      </c>
      <c r="U38" s="1">
        <f t="shared" si="11"/>
        <v>0</v>
      </c>
      <c r="V38" s="1">
        <f t="shared" si="12"/>
        <v>0</v>
      </c>
      <c r="W38" s="1">
        <f t="shared" si="13"/>
        <v>0</v>
      </c>
      <c r="X38" s="1">
        <f t="shared" si="14"/>
        <v>0</v>
      </c>
      <c r="Y38" s="1">
        <f t="shared" si="15"/>
        <v>8.164205461571929E-3</v>
      </c>
      <c r="Z38" s="1">
        <f t="shared" si="6"/>
        <v>2.8953511977263501E-2</v>
      </c>
      <c r="AA38" s="1">
        <f t="shared" si="2"/>
        <v>1.567233307463135E-2</v>
      </c>
      <c r="AB38" s="1">
        <f t="shared" si="3"/>
        <v>2.2005061867266591E-2</v>
      </c>
      <c r="AC38" s="1">
        <f t="shared" si="4"/>
        <v>8.8018709901709815E-3</v>
      </c>
      <c r="AD38" s="1" t="str">
        <f t="shared" si="7"/>
        <v>MARY AUTOMOBILES SUD MANCHE</v>
      </c>
      <c r="AE38" s="1" t="str">
        <f t="shared" si="8"/>
        <v>2001</v>
      </c>
      <c r="AF38" s="3">
        <f>Q38*Feuil2!$B$3</f>
        <v>550.15427682737175</v>
      </c>
      <c r="AG38" s="3">
        <f>R38*Feuil2!$C$3</f>
        <v>0</v>
      </c>
      <c r="AH38" s="3">
        <f>S38*Feuil2!$D$3</f>
        <v>0</v>
      </c>
      <c r="AI38" s="3">
        <f>T38*Feuil2!$E$2</f>
        <v>0</v>
      </c>
      <c r="AJ38" s="3">
        <f>U38*Feuil2!$F$3</f>
        <v>0</v>
      </c>
      <c r="AK38" s="3">
        <f>V38*Feuil2!$G$3</f>
        <v>0</v>
      </c>
      <c r="AL38" s="3">
        <f>W38*Feuil2!$H$3</f>
        <v>0</v>
      </c>
      <c r="AM38" s="3">
        <f>X38*Feuil2!$I$2</f>
        <v>0</v>
      </c>
      <c r="AN38" s="3">
        <f>Y38*Feuil2!$J$3</f>
        <v>344.96086709492488</v>
      </c>
      <c r="AO38" s="3">
        <f>Z38*Feuil2!$K$3</f>
        <v>1166.4709835566382</v>
      </c>
      <c r="AP38" s="3">
        <f>AA38*Feuil2!$L$3</f>
        <v>569.80653631424786</v>
      </c>
      <c r="AQ38" s="3">
        <f>AB38*Feuil2!$M$3</f>
        <v>735.18471597300345</v>
      </c>
      <c r="AR38" s="3">
        <f>AC38*Feuil2!$N$3</f>
        <v>3685.2243822888031</v>
      </c>
    </row>
    <row r="39" spans="1:44" x14ac:dyDescent="0.35">
      <c r="A39" t="s">
        <v>82</v>
      </c>
      <c r="B39" t="s">
        <v>83</v>
      </c>
      <c r="C39">
        <v>84</v>
      </c>
      <c r="D39">
        <v>86</v>
      </c>
      <c r="E39">
        <v>74</v>
      </c>
      <c r="F39">
        <v>0</v>
      </c>
      <c r="G39">
        <v>120</v>
      </c>
      <c r="H39">
        <v>78</v>
      </c>
      <c r="I39">
        <v>1998</v>
      </c>
      <c r="J39">
        <v>74</v>
      </c>
      <c r="K39">
        <v>38</v>
      </c>
      <c r="L39">
        <v>101</v>
      </c>
      <c r="M39">
        <v>37</v>
      </c>
      <c r="N39">
        <v>37</v>
      </c>
      <c r="O39">
        <v>2727</v>
      </c>
      <c r="Q39" s="1">
        <f>C39/$C$434</f>
        <v>2.0736132711249352E-3</v>
      </c>
      <c r="R39" s="1">
        <f t="shared" si="5"/>
        <v>3.625326700952702E-3</v>
      </c>
      <c r="S39" s="1">
        <f t="shared" si="9"/>
        <v>2.5119657829525783E-3</v>
      </c>
      <c r="T39" s="1">
        <f t="shared" si="10"/>
        <v>0</v>
      </c>
      <c r="U39" s="1">
        <f t="shared" si="11"/>
        <v>5.7202783868814952E-3</v>
      </c>
      <c r="V39" s="1">
        <f t="shared" si="12"/>
        <v>2.6110534596458339E-3</v>
      </c>
      <c r="W39" s="1">
        <f t="shared" si="13"/>
        <v>4.4740024183796856E-2</v>
      </c>
      <c r="X39" s="1">
        <f t="shared" si="14"/>
        <v>3.9534138262634893E-3</v>
      </c>
      <c r="Y39" s="1">
        <f t="shared" si="15"/>
        <v>9.7253858162925811E-4</v>
      </c>
      <c r="Z39" s="1">
        <f t="shared" si="6"/>
        <v>2.5629313844904586E-3</v>
      </c>
      <c r="AA39" s="1">
        <f t="shared" si="2"/>
        <v>9.2632000600856225E-4</v>
      </c>
      <c r="AB39" s="1">
        <f t="shared" si="3"/>
        <v>1.3006186726659168E-3</v>
      </c>
      <c r="AC39" s="1">
        <f t="shared" si="4"/>
        <v>7.1821371005973264E-3</v>
      </c>
      <c r="AD39" s="1" t="str">
        <f t="shared" si="7"/>
        <v>CA ROULE OCCASIONS</v>
      </c>
      <c r="AE39" s="1" t="str">
        <f t="shared" si="8"/>
        <v>3632</v>
      </c>
      <c r="AF39" s="3">
        <f>Q39*Feuil2!$B$3</f>
        <v>73.353903576982887</v>
      </c>
      <c r="AG39" s="3">
        <f>R39*Feuil2!$C$3</f>
        <v>128.24564202006576</v>
      </c>
      <c r="AH39" s="3">
        <f>S39*Feuil2!$D$3</f>
        <v>98.714728945313837</v>
      </c>
      <c r="AI39" s="3">
        <f>T39*Feuil2!$E$2</f>
        <v>0</v>
      </c>
      <c r="AJ39" s="3">
        <f>U39*Feuil2!$F$3</f>
        <v>146.14396033940321</v>
      </c>
      <c r="AK39" s="3">
        <f>V39*Feuil2!$G$3</f>
        <v>105.19339068724265</v>
      </c>
      <c r="AL39" s="3">
        <f>W39*Feuil2!$H$3</f>
        <v>1626.6345344619106</v>
      </c>
      <c r="AM39" s="3">
        <f>X39*Feuil2!$I$2</f>
        <v>84.452826156640654</v>
      </c>
      <c r="AN39" s="3">
        <f>Y39*Feuil2!$J$3</f>
        <v>41.092517083407984</v>
      </c>
      <c r="AO39" s="3">
        <f>Z39*Feuil2!$K$3</f>
        <v>103.25466199756394</v>
      </c>
      <c r="AP39" s="3">
        <f>AA39*Feuil2!$L$3</f>
        <v>33.678661092056188</v>
      </c>
      <c r="AQ39" s="3">
        <f>AB39*Feuil2!$M$3</f>
        <v>43.453409730033748</v>
      </c>
      <c r="AR39" s="3">
        <f>AC39*Feuil2!$N$3</f>
        <v>3007.0637015265006</v>
      </c>
    </row>
    <row r="40" spans="1:44" x14ac:dyDescent="0.35">
      <c r="A40" t="s">
        <v>84</v>
      </c>
      <c r="B40" t="s">
        <v>85</v>
      </c>
      <c r="C40">
        <v>112</v>
      </c>
      <c r="D40">
        <v>370</v>
      </c>
      <c r="E40">
        <v>73</v>
      </c>
      <c r="F40">
        <v>42</v>
      </c>
      <c r="G40">
        <v>582</v>
      </c>
      <c r="H40">
        <v>245</v>
      </c>
      <c r="I40">
        <v>191</v>
      </c>
      <c r="J40">
        <v>147</v>
      </c>
      <c r="K40">
        <v>604</v>
      </c>
      <c r="L40">
        <v>189</v>
      </c>
      <c r="M40">
        <v>134</v>
      </c>
      <c r="N40">
        <v>134</v>
      </c>
      <c r="O40">
        <v>2823</v>
      </c>
      <c r="Q40" s="1">
        <f>C40/$C$434</f>
        <v>2.7648176948332471E-3</v>
      </c>
      <c r="R40" s="1">
        <f t="shared" si="5"/>
        <v>1.5597335806424415E-2</v>
      </c>
      <c r="S40" s="1">
        <f t="shared" si="9"/>
        <v>2.4780202993991648E-3</v>
      </c>
      <c r="T40" s="1">
        <f t="shared" si="10"/>
        <v>1.6865437899048308E-3</v>
      </c>
      <c r="U40" s="1">
        <f t="shared" si="11"/>
        <v>2.7743350176375251E-2</v>
      </c>
      <c r="V40" s="1">
        <f t="shared" si="12"/>
        <v>8.2013858668362732E-3</v>
      </c>
      <c r="W40" s="1">
        <f t="shared" si="13"/>
        <v>4.276949258811411E-3</v>
      </c>
      <c r="X40" s="1">
        <f t="shared" si="14"/>
        <v>7.8534031413612562E-3</v>
      </c>
      <c r="Y40" s="1">
        <f t="shared" si="15"/>
        <v>1.5458244823791364E-2</v>
      </c>
      <c r="Z40" s="1">
        <f t="shared" si="6"/>
        <v>4.7959805115712541E-3</v>
      </c>
      <c r="AA40" s="1">
        <f t="shared" si="2"/>
        <v>3.3547805623012792E-3</v>
      </c>
      <c r="AB40" s="1">
        <f t="shared" si="3"/>
        <v>4.7103487064116987E-3</v>
      </c>
      <c r="AC40" s="1">
        <f t="shared" si="4"/>
        <v>7.4349736101893115E-3</v>
      </c>
      <c r="AD40" s="1" t="str">
        <f t="shared" si="7"/>
        <v>LE GROS BUISSON</v>
      </c>
      <c r="AE40" s="1" t="str">
        <f t="shared" si="8"/>
        <v>3014</v>
      </c>
      <c r="AF40" s="3">
        <f>Q40*Feuil2!$B$3</f>
        <v>97.805204769310521</v>
      </c>
      <c r="AG40" s="3">
        <f>R40*Feuil2!$C$3</f>
        <v>551.75450636539915</v>
      </c>
      <c r="AH40" s="3">
        <f>S40*Feuil2!$D$3</f>
        <v>97.380746121728507</v>
      </c>
      <c r="AI40" s="3">
        <f>T40*Feuil2!$E$2</f>
        <v>63.216720877002771</v>
      </c>
      <c r="AJ40" s="3">
        <f>U40*Feuil2!$F$3</f>
        <v>708.79820764610554</v>
      </c>
      <c r="AK40" s="3">
        <f>V40*Feuil2!$G$3</f>
        <v>330.41513741505707</v>
      </c>
      <c r="AL40" s="3">
        <f>W40*Feuil2!$H$3</f>
        <v>155.4990971382507</v>
      </c>
      <c r="AM40" s="3">
        <f>X40*Feuil2!$I$2</f>
        <v>167.76439790575915</v>
      </c>
      <c r="AN40" s="3">
        <f>Y40*Feuil2!$J$3</f>
        <v>653.15474522048476</v>
      </c>
      <c r="AO40" s="3">
        <f>Z40*Feuil2!$K$3</f>
        <v>193.21911997563944</v>
      </c>
      <c r="AP40" s="3">
        <f>AA40*Feuil2!$L$3</f>
        <v>121.97136719825752</v>
      </c>
      <c r="AQ40" s="3">
        <f>AB40*Feuil2!$M$3</f>
        <v>157.37180821147359</v>
      </c>
      <c r="AR40" s="3">
        <f>AC40*Feuil2!$N$3</f>
        <v>3112.9229297430552</v>
      </c>
    </row>
    <row r="41" spans="1:44" x14ac:dyDescent="0.35">
      <c r="A41" t="s">
        <v>86</v>
      </c>
      <c r="B41" t="s">
        <v>87</v>
      </c>
      <c r="C41">
        <v>332</v>
      </c>
      <c r="D41">
        <v>267</v>
      </c>
      <c r="E41">
        <v>201</v>
      </c>
      <c r="F41">
        <v>162</v>
      </c>
      <c r="G41">
        <v>10</v>
      </c>
      <c r="H41">
        <v>325</v>
      </c>
      <c r="I41">
        <v>215</v>
      </c>
      <c r="J41">
        <v>42</v>
      </c>
      <c r="K41">
        <v>428</v>
      </c>
      <c r="L41">
        <v>441</v>
      </c>
      <c r="M41">
        <v>108</v>
      </c>
      <c r="N41">
        <v>108</v>
      </c>
      <c r="O41">
        <v>2639</v>
      </c>
      <c r="Q41" s="1">
        <f>C41/$C$434</f>
        <v>8.1957095953985541E-3</v>
      </c>
      <c r="R41" s="1">
        <f t="shared" si="5"/>
        <v>1.1255374757608971E-2</v>
      </c>
      <c r="S41" s="1">
        <f t="shared" si="9"/>
        <v>6.8230421942360566E-3</v>
      </c>
      <c r="T41" s="1">
        <f t="shared" si="10"/>
        <v>6.5052403324900613E-3</v>
      </c>
      <c r="U41" s="1">
        <f t="shared" si="11"/>
        <v>4.7668986557345788E-4</v>
      </c>
      <c r="V41" s="1">
        <f t="shared" si="12"/>
        <v>1.0879389415190975E-2</v>
      </c>
      <c r="W41" s="1">
        <f t="shared" si="13"/>
        <v>4.8143669667248873E-3</v>
      </c>
      <c r="X41" s="1">
        <f t="shared" si="14"/>
        <v>2.243829468960359E-3</v>
      </c>
      <c r="Y41" s="1">
        <f t="shared" si="15"/>
        <v>1.0953855603613749E-2</v>
      </c>
      <c r="Z41" s="1">
        <f t="shared" si="6"/>
        <v>1.1190621193666261E-2</v>
      </c>
      <c r="AA41" s="1">
        <f t="shared" si="2"/>
        <v>2.7038529905114789E-3</v>
      </c>
      <c r="AB41" s="1">
        <f t="shared" si="3"/>
        <v>3.7964004499437569E-3</v>
      </c>
      <c r="AC41" s="1">
        <f t="shared" si="4"/>
        <v>6.9503703001380064E-3</v>
      </c>
      <c r="AD41" s="1" t="str">
        <f t="shared" si="7"/>
        <v>RAULINE THOMAS SAS</v>
      </c>
      <c r="AE41" s="1" t="str">
        <f t="shared" si="8"/>
        <v>3601</v>
      </c>
      <c r="AF41" s="3">
        <f>Q41*Feuil2!$B$3</f>
        <v>289.92257128045622</v>
      </c>
      <c r="AG41" s="3">
        <f>R41*Feuil2!$C$3</f>
        <v>398.15798162043671</v>
      </c>
      <c r="AH41" s="3">
        <f>S41*Feuil2!$D$3</f>
        <v>268.13054754064973</v>
      </c>
      <c r="AI41" s="3">
        <f>T41*Feuil2!$E$2</f>
        <v>243.83592338272496</v>
      </c>
      <c r="AJ41" s="3">
        <f>U41*Feuil2!$F$3</f>
        <v>12.178663361616932</v>
      </c>
      <c r="AK41" s="3">
        <f>V41*Feuil2!$G$3</f>
        <v>438.30579453017776</v>
      </c>
      <c r="AL41" s="3">
        <f>W41*Feuil2!$H$3</f>
        <v>175.03825070536078</v>
      </c>
      <c r="AM41" s="3">
        <f>X41*Feuil2!$I$2</f>
        <v>47.932685115931186</v>
      </c>
      <c r="AN41" s="3">
        <f>Y41*Feuil2!$J$3</f>
        <v>462.83150820259522</v>
      </c>
      <c r="AO41" s="3">
        <f>Z41*Feuil2!$K$3</f>
        <v>450.84461327649211</v>
      </c>
      <c r="AP41" s="3">
        <f>AA41*Feuil2!$L$3</f>
        <v>98.305281025461298</v>
      </c>
      <c r="AQ41" s="3">
        <f>AB41*Feuil2!$M$3</f>
        <v>126.83697975253094</v>
      </c>
      <c r="AR41" s="3">
        <f>AC41*Feuil2!$N$3</f>
        <v>2910.0260756613256</v>
      </c>
    </row>
    <row r="42" spans="1:44" x14ac:dyDescent="0.35">
      <c r="A42" t="s">
        <v>88</v>
      </c>
      <c r="B42" t="s">
        <v>89</v>
      </c>
      <c r="C42">
        <v>568</v>
      </c>
      <c r="D42">
        <v>73</v>
      </c>
      <c r="E42">
        <v>386</v>
      </c>
      <c r="F42">
        <v>117</v>
      </c>
      <c r="G42">
        <v>75</v>
      </c>
      <c r="H42">
        <v>13</v>
      </c>
      <c r="I42">
        <v>22</v>
      </c>
      <c r="J42">
        <v>17</v>
      </c>
      <c r="K42">
        <v>591</v>
      </c>
      <c r="L42">
        <v>289</v>
      </c>
      <c r="M42">
        <v>283</v>
      </c>
      <c r="N42">
        <v>283</v>
      </c>
      <c r="O42">
        <v>2717</v>
      </c>
      <c r="Q42" s="1">
        <f>C42/$C$434</f>
        <v>1.4021575452368609E-2</v>
      </c>
      <c r="R42" s="1">
        <f t="shared" si="5"/>
        <v>3.0773121996458984E-3</v>
      </c>
      <c r="S42" s="1">
        <f t="shared" si="9"/>
        <v>1.3102956651617502E-2</v>
      </c>
      <c r="T42" s="1">
        <f t="shared" si="10"/>
        <v>4.6982291290205997E-3</v>
      </c>
      <c r="U42" s="1">
        <f t="shared" si="11"/>
        <v>3.5751739918009344E-3</v>
      </c>
      <c r="V42" s="1">
        <f t="shared" si="12"/>
        <v>4.3517557660763902E-4</v>
      </c>
      <c r="W42" s="1">
        <f t="shared" si="13"/>
        <v>4.9263289892068605E-4</v>
      </c>
      <c r="X42" s="1">
        <f t="shared" si="14"/>
        <v>9.0821668981728814E-4</v>
      </c>
      <c r="Y42" s="1">
        <f t="shared" si="15"/>
        <v>1.5125534256391881E-2</v>
      </c>
      <c r="Z42" s="1">
        <f t="shared" si="6"/>
        <v>7.3335363377994315E-3</v>
      </c>
      <c r="AA42" s="1">
        <f t="shared" si="2"/>
        <v>7.085096262173597E-3</v>
      </c>
      <c r="AB42" s="1">
        <f t="shared" si="3"/>
        <v>9.9479752530933635E-3</v>
      </c>
      <c r="AC42" s="1">
        <f t="shared" si="4"/>
        <v>7.1557999641814942E-3</v>
      </c>
      <c r="AD42" s="1" t="str">
        <f t="shared" si="7"/>
        <v>BANNIER</v>
      </c>
      <c r="AE42" s="1" t="str">
        <f t="shared" si="8"/>
        <v>5133</v>
      </c>
      <c r="AF42" s="3">
        <f>Q42*Feuil2!$B$3</f>
        <v>496.01210990150332</v>
      </c>
      <c r="AG42" s="3">
        <f>R42*Feuil2!$C$3</f>
        <v>108.85967287749767</v>
      </c>
      <c r="AH42" s="3">
        <f>S42*Feuil2!$D$3</f>
        <v>514.91736990393429</v>
      </c>
      <c r="AI42" s="3">
        <f>T42*Feuil2!$E$2</f>
        <v>176.10372244307914</v>
      </c>
      <c r="AJ42" s="3">
        <f>U42*Feuil2!$F$3</f>
        <v>91.339975212127001</v>
      </c>
      <c r="AK42" s="3">
        <f>V42*Feuil2!$G$3</f>
        <v>17.532231781207113</v>
      </c>
      <c r="AL42" s="3">
        <f>W42*Feuil2!$H$3</f>
        <v>17.910890769850866</v>
      </c>
      <c r="AM42" s="3">
        <f>X42*Feuil2!$I$2</f>
        <v>19.40132492787691</v>
      </c>
      <c r="AN42" s="3">
        <f>Y42*Feuil2!$J$3</f>
        <v>639.09677884984524</v>
      </c>
      <c r="AO42" s="3">
        <f>Z42*Feuil2!$K$3</f>
        <v>295.45145858708895</v>
      </c>
      <c r="AP42" s="3">
        <f>AA42*Feuil2!$L$3</f>
        <v>257.59624565005134</v>
      </c>
      <c r="AQ42" s="3">
        <f>AB42*Feuil2!$M$3</f>
        <v>332.3598636107987</v>
      </c>
      <c r="AR42" s="3">
        <f>AC42*Feuil2!$N$3</f>
        <v>2996.0366985872761</v>
      </c>
    </row>
    <row r="43" spans="1:44" x14ac:dyDescent="0.35">
      <c r="A43" t="s">
        <v>90</v>
      </c>
      <c r="B43" t="s">
        <v>91</v>
      </c>
      <c r="C43">
        <v>6</v>
      </c>
      <c r="D43">
        <v>0</v>
      </c>
      <c r="E43">
        <v>666</v>
      </c>
      <c r="F43">
        <v>0</v>
      </c>
      <c r="G43">
        <v>0</v>
      </c>
      <c r="H43">
        <v>141</v>
      </c>
      <c r="I43">
        <v>708</v>
      </c>
      <c r="J43">
        <v>60</v>
      </c>
      <c r="K43">
        <v>42</v>
      </c>
      <c r="L43">
        <v>0</v>
      </c>
      <c r="M43">
        <v>754</v>
      </c>
      <c r="N43">
        <v>754</v>
      </c>
      <c r="O43">
        <v>3131</v>
      </c>
      <c r="Q43" s="1">
        <f>C43/$C$434</f>
        <v>1.481152336517811E-4</v>
      </c>
      <c r="R43" s="1">
        <f t="shared" si="5"/>
        <v>0</v>
      </c>
      <c r="S43" s="1">
        <f t="shared" si="9"/>
        <v>2.2607692046573202E-2</v>
      </c>
      <c r="T43" s="1">
        <f t="shared" si="10"/>
        <v>0</v>
      </c>
      <c r="U43" s="1">
        <f t="shared" si="11"/>
        <v>0</v>
      </c>
      <c r="V43" s="1">
        <f t="shared" si="12"/>
        <v>4.7199812539751619E-3</v>
      </c>
      <c r="W43" s="1">
        <f t="shared" si="13"/>
        <v>1.5853822383447534E-2</v>
      </c>
      <c r="X43" s="1">
        <f t="shared" si="14"/>
        <v>3.2054706699433701E-3</v>
      </c>
      <c r="Y43" s="1">
        <f t="shared" si="15"/>
        <v>1.074911063906022E-3</v>
      </c>
      <c r="Z43" s="1">
        <f t="shared" si="6"/>
        <v>0</v>
      </c>
      <c r="AA43" s="1">
        <f t="shared" si="2"/>
        <v>1.8876899581904215E-2</v>
      </c>
      <c r="AB43" s="1">
        <f t="shared" si="3"/>
        <v>2.6504499437570304E-2</v>
      </c>
      <c r="AC43" s="1">
        <f t="shared" si="4"/>
        <v>8.2461574117969304E-3</v>
      </c>
      <c r="AD43" s="1" t="str">
        <f t="shared" si="7"/>
        <v>LESNIS</v>
      </c>
      <c r="AE43" s="1" t="str">
        <f t="shared" si="8"/>
        <v>5005</v>
      </c>
      <c r="AF43" s="3">
        <f>Q43*Feuil2!$B$3</f>
        <v>5.2395645412130643</v>
      </c>
      <c r="AG43" s="3">
        <f>R43*Feuil2!$C$3</f>
        <v>0</v>
      </c>
      <c r="AH43" s="3">
        <f>S43*Feuil2!$D$3</f>
        <v>888.43256050782441</v>
      </c>
      <c r="AI43" s="3">
        <f>T43*Feuil2!$E$2</f>
        <v>0</v>
      </c>
      <c r="AJ43" s="3">
        <f>U43*Feuil2!$F$3</f>
        <v>0</v>
      </c>
      <c r="AK43" s="3">
        <f>V43*Feuil2!$G$3</f>
        <v>190.1572831654002</v>
      </c>
      <c r="AL43" s="3">
        <f>W43*Feuil2!$H$3</f>
        <v>576.4050302297461</v>
      </c>
      <c r="AM43" s="3">
        <f>X43*Feuil2!$I$2</f>
        <v>68.475264451330276</v>
      </c>
      <c r="AN43" s="3">
        <f>Y43*Feuil2!$J$3</f>
        <v>45.418045197450923</v>
      </c>
      <c r="AO43" s="3">
        <f>Z43*Feuil2!$K$3</f>
        <v>0</v>
      </c>
      <c r="AP43" s="3">
        <f>AA43*Feuil2!$L$3</f>
        <v>686.31649901109097</v>
      </c>
      <c r="AQ43" s="3">
        <f>AB43*Feuil2!$M$3</f>
        <v>885.51002530933636</v>
      </c>
      <c r="AR43" s="3">
        <f>AC43*Feuil2!$N$3</f>
        <v>3452.5546202711676</v>
      </c>
    </row>
    <row r="44" spans="1:44" x14ac:dyDescent="0.35">
      <c r="A44" t="s">
        <v>92</v>
      </c>
      <c r="B44" t="s">
        <v>93</v>
      </c>
      <c r="C44">
        <v>102</v>
      </c>
      <c r="D44">
        <v>0</v>
      </c>
      <c r="E44">
        <v>686</v>
      </c>
      <c r="F44">
        <v>331</v>
      </c>
      <c r="G44">
        <v>108</v>
      </c>
      <c r="H44">
        <v>191</v>
      </c>
      <c r="I44">
        <v>191</v>
      </c>
      <c r="J44">
        <v>0</v>
      </c>
      <c r="K44">
        <v>177</v>
      </c>
      <c r="L44">
        <v>415</v>
      </c>
      <c r="M44">
        <v>153</v>
      </c>
      <c r="N44">
        <v>153</v>
      </c>
      <c r="O44">
        <v>2507</v>
      </c>
      <c r="Q44" s="1">
        <f>C44/$C$434</f>
        <v>2.5179589720802785E-3</v>
      </c>
      <c r="R44" s="1">
        <f t="shared" si="5"/>
        <v>0</v>
      </c>
      <c r="S44" s="1">
        <f t="shared" si="9"/>
        <v>2.3286601717641468E-2</v>
      </c>
      <c r="T44" s="1">
        <f t="shared" si="10"/>
        <v>1.3291571296630928E-2</v>
      </c>
      <c r="U44" s="1">
        <f t="shared" si="11"/>
        <v>5.1482505481933458E-3</v>
      </c>
      <c r="V44" s="1">
        <f t="shared" si="12"/>
        <v>6.3937334716968504E-3</v>
      </c>
      <c r="W44" s="1">
        <f t="shared" si="13"/>
        <v>4.276949258811411E-3</v>
      </c>
      <c r="X44" s="1">
        <f t="shared" si="14"/>
        <v>0</v>
      </c>
      <c r="Y44" s="1">
        <f t="shared" si="15"/>
        <v>4.5299823407468076E-3</v>
      </c>
      <c r="Z44" s="1">
        <f t="shared" si="6"/>
        <v>1.0530856678846935E-2</v>
      </c>
      <c r="AA44" s="1">
        <f t="shared" si="2"/>
        <v>3.8304584032245949E-3</v>
      </c>
      <c r="AB44" s="1">
        <f t="shared" si="3"/>
        <v>5.3782339707536559E-3</v>
      </c>
      <c r="AC44" s="1">
        <f t="shared" si="4"/>
        <v>6.6027200994490274E-3</v>
      </c>
      <c r="AD44" s="1" t="str">
        <f t="shared" si="7"/>
        <v>SC CARROSSERIE</v>
      </c>
      <c r="AE44" s="1" t="str">
        <f t="shared" si="8"/>
        <v>151852</v>
      </c>
      <c r="AF44" s="3">
        <f>Q44*Feuil2!$B$3</f>
        <v>89.072597200622084</v>
      </c>
      <c r="AG44" s="3">
        <f>R44*Feuil2!$C$3</f>
        <v>0</v>
      </c>
      <c r="AH44" s="3">
        <f>S44*Feuil2!$D$3</f>
        <v>915.1122169795309</v>
      </c>
      <c r="AI44" s="3">
        <f>T44*Feuil2!$E$2</f>
        <v>498.20796691161706</v>
      </c>
      <c r="AJ44" s="3">
        <f>U44*Feuil2!$F$3</f>
        <v>131.52956430546288</v>
      </c>
      <c r="AK44" s="3">
        <f>V44*Feuil2!$G$3</f>
        <v>257.58894386235062</v>
      </c>
      <c r="AL44" s="3">
        <f>W44*Feuil2!$H$3</f>
        <v>155.4990971382507</v>
      </c>
      <c r="AM44" s="3">
        <f>X44*Feuil2!$I$2</f>
        <v>0</v>
      </c>
      <c r="AN44" s="3">
        <f>Y44*Feuil2!$J$3</f>
        <v>191.40461904640037</v>
      </c>
      <c r="AO44" s="3">
        <f>Z44*Feuil2!$K$3</f>
        <v>424.26420523751528</v>
      </c>
      <c r="AP44" s="3">
        <f>AA44*Feuil2!$L$3</f>
        <v>139.26581478607017</v>
      </c>
      <c r="AQ44" s="3">
        <f>AB44*Feuil2!$M$3</f>
        <v>179.68572131608551</v>
      </c>
      <c r="AR44" s="3">
        <f>AC44*Feuil2!$N$3</f>
        <v>2764.4696368635637</v>
      </c>
    </row>
    <row r="45" spans="1:44" x14ac:dyDescent="0.35">
      <c r="A45" t="s">
        <v>94</v>
      </c>
      <c r="B45" t="s">
        <v>95</v>
      </c>
      <c r="C45">
        <v>191</v>
      </c>
      <c r="D45">
        <v>56</v>
      </c>
      <c r="E45">
        <v>117</v>
      </c>
      <c r="F45">
        <v>55</v>
      </c>
      <c r="G45">
        <v>0</v>
      </c>
      <c r="H45">
        <v>245</v>
      </c>
      <c r="I45">
        <v>279</v>
      </c>
      <c r="J45">
        <v>60</v>
      </c>
      <c r="K45">
        <v>464</v>
      </c>
      <c r="L45">
        <v>329</v>
      </c>
      <c r="M45">
        <v>502</v>
      </c>
      <c r="N45">
        <v>502</v>
      </c>
      <c r="O45">
        <v>2800</v>
      </c>
      <c r="Q45" s="1">
        <f>C45/$C$434</f>
        <v>4.715001604581698E-3</v>
      </c>
      <c r="R45" s="1">
        <f t="shared" si="5"/>
        <v>2.3606778517831547E-3</v>
      </c>
      <c r="S45" s="1">
        <f t="shared" si="9"/>
        <v>3.9716215757493465E-3</v>
      </c>
      <c r="T45" s="1">
        <f t="shared" si="10"/>
        <v>2.2085692486848974E-3</v>
      </c>
      <c r="U45" s="1">
        <f t="shared" si="11"/>
        <v>0</v>
      </c>
      <c r="V45" s="1">
        <f t="shared" si="12"/>
        <v>8.2013858668362732E-3</v>
      </c>
      <c r="W45" s="1">
        <f t="shared" si="13"/>
        <v>6.2474808544941557E-3</v>
      </c>
      <c r="X45" s="1">
        <f t="shared" si="14"/>
        <v>3.2054706699433701E-3</v>
      </c>
      <c r="Y45" s="1">
        <f t="shared" si="15"/>
        <v>1.1875207944104625E-2</v>
      </c>
      <c r="Z45" s="1">
        <f t="shared" si="6"/>
        <v>8.348558668290703E-3</v>
      </c>
      <c r="AA45" s="1">
        <f t="shared" si="2"/>
        <v>1.2567909270710763E-2</v>
      </c>
      <c r="AB45" s="1">
        <f t="shared" si="3"/>
        <v>1.7646231721034869E-2</v>
      </c>
      <c r="AC45" s="1">
        <f t="shared" si="4"/>
        <v>7.3743981964328985E-3</v>
      </c>
      <c r="AD45" s="1" t="str">
        <f t="shared" si="7"/>
        <v>LAGUERRE PNEUS</v>
      </c>
      <c r="AE45" s="1" t="str">
        <f t="shared" si="8"/>
        <v>3299</v>
      </c>
      <c r="AF45" s="3">
        <f>Q45*Feuil2!$B$3</f>
        <v>166.7928045619492</v>
      </c>
      <c r="AG45" s="3">
        <f>R45*Feuil2!$C$3</f>
        <v>83.508790152600952</v>
      </c>
      <c r="AH45" s="3">
        <f>S45*Feuil2!$D$3</f>
        <v>156.07599035948269</v>
      </c>
      <c r="AI45" s="3">
        <f>T45*Feuil2!$E$2</f>
        <v>82.783801148456007</v>
      </c>
      <c r="AJ45" s="3">
        <f>U45*Feuil2!$F$3</f>
        <v>0</v>
      </c>
      <c r="AK45" s="3">
        <f>V45*Feuil2!$G$3</f>
        <v>330.41513741505707</v>
      </c>
      <c r="AL45" s="3">
        <f>W45*Feuil2!$H$3</f>
        <v>227.1426602176542</v>
      </c>
      <c r="AM45" s="3">
        <f>X45*Feuil2!$I$2</f>
        <v>68.475264451330276</v>
      </c>
      <c r="AN45" s="3">
        <f>Y45*Feuil2!$J$3</f>
        <v>501.76126122898171</v>
      </c>
      <c r="AO45" s="3">
        <f>Z45*Feuil2!$K$3</f>
        <v>336.34439403166874</v>
      </c>
      <c r="AP45" s="3">
        <f>AA45*Feuil2!$L$3</f>
        <v>456.93750995168119</v>
      </c>
      <c r="AQ45" s="3">
        <f>AB45*Feuil2!$M$3</f>
        <v>589.55707255343077</v>
      </c>
      <c r="AR45" s="3">
        <f>AC45*Feuil2!$N$3</f>
        <v>3087.560822982839</v>
      </c>
    </row>
    <row r="46" spans="1:44" x14ac:dyDescent="0.35">
      <c r="A46" t="s">
        <v>96</v>
      </c>
      <c r="B46" t="s">
        <v>97</v>
      </c>
      <c r="C46">
        <v>216</v>
      </c>
      <c r="D46">
        <v>186</v>
      </c>
      <c r="E46">
        <v>550</v>
      </c>
      <c r="F46">
        <v>97</v>
      </c>
      <c r="G46">
        <v>25</v>
      </c>
      <c r="H46">
        <v>50</v>
      </c>
      <c r="I46">
        <v>191</v>
      </c>
      <c r="J46">
        <v>171</v>
      </c>
      <c r="K46">
        <v>0</v>
      </c>
      <c r="L46">
        <v>262</v>
      </c>
      <c r="M46">
        <v>526</v>
      </c>
      <c r="N46">
        <v>526</v>
      </c>
      <c r="O46">
        <v>2800</v>
      </c>
      <c r="Q46" s="1">
        <f>C46/$C$434</f>
        <v>5.3321484114641189E-3</v>
      </c>
      <c r="R46" s="1">
        <f t="shared" si="5"/>
        <v>7.8408228648511932E-3</v>
      </c>
      <c r="S46" s="1">
        <f t="shared" si="9"/>
        <v>1.867001595437727E-2</v>
      </c>
      <c r="T46" s="1">
        <f t="shared" si="10"/>
        <v>3.8951130385897282E-3</v>
      </c>
      <c r="U46" s="1">
        <f t="shared" si="11"/>
        <v>1.1917246639336447E-3</v>
      </c>
      <c r="V46" s="1">
        <f t="shared" si="12"/>
        <v>1.6737522177216885E-3</v>
      </c>
      <c r="W46" s="1">
        <f t="shared" si="13"/>
        <v>4.276949258811411E-3</v>
      </c>
      <c r="X46" s="1">
        <f t="shared" si="14"/>
        <v>9.1355914093386049E-3</v>
      </c>
      <c r="Y46" s="1">
        <f t="shared" si="15"/>
        <v>0</v>
      </c>
      <c r="Z46" s="1">
        <f t="shared" si="6"/>
        <v>6.648396264717824E-3</v>
      </c>
      <c r="AA46" s="1">
        <f t="shared" si="2"/>
        <v>1.3168765490824425E-2</v>
      </c>
      <c r="AB46" s="1">
        <f t="shared" si="3"/>
        <v>1.8489876265466818E-2</v>
      </c>
      <c r="AC46" s="1">
        <f t="shared" si="4"/>
        <v>7.3743981964328985E-3</v>
      </c>
      <c r="AD46" s="1" t="str">
        <f t="shared" si="7"/>
        <v>ST-MICHEL SARL</v>
      </c>
      <c r="AE46" s="1" t="str">
        <f t="shared" si="8"/>
        <v>3259</v>
      </c>
      <c r="AF46" s="3">
        <f>Q46*Feuil2!$B$3</f>
        <v>188.62432348367028</v>
      </c>
      <c r="AG46" s="3">
        <f>R46*Feuil2!$C$3</f>
        <v>277.36848157828177</v>
      </c>
      <c r="AH46" s="3">
        <f>S46*Feuil2!$D$3</f>
        <v>733.6905529719271</v>
      </c>
      <c r="AI46" s="3">
        <f>T46*Feuil2!$E$2</f>
        <v>146.00052202545879</v>
      </c>
      <c r="AJ46" s="3">
        <f>U46*Feuil2!$F$3</f>
        <v>30.446658404042331</v>
      </c>
      <c r="AK46" s="3">
        <f>V46*Feuil2!$G$3</f>
        <v>67.431660696950431</v>
      </c>
      <c r="AL46" s="3">
        <f>W46*Feuil2!$H$3</f>
        <v>155.4990971382507</v>
      </c>
      <c r="AM46" s="3">
        <f>X46*Feuil2!$I$2</f>
        <v>195.15450368629126</v>
      </c>
      <c r="AN46" s="3">
        <f>Y46*Feuil2!$J$3</f>
        <v>0</v>
      </c>
      <c r="AO46" s="3">
        <f>Z46*Feuil2!$K$3</f>
        <v>267.8487271619976</v>
      </c>
      <c r="AP46" s="3">
        <f>AA46*Feuil2!$L$3</f>
        <v>478.78312795733927</v>
      </c>
      <c r="AQ46" s="3">
        <f>AB46*Feuil2!$M$3</f>
        <v>617.74306805399328</v>
      </c>
      <c r="AR46" s="3">
        <f>AC46*Feuil2!$N$3</f>
        <v>3087.560822982839</v>
      </c>
    </row>
    <row r="47" spans="1:44" x14ac:dyDescent="0.35">
      <c r="A47" t="s">
        <v>98</v>
      </c>
      <c r="B47" t="s">
        <v>99</v>
      </c>
      <c r="C47">
        <v>65</v>
      </c>
      <c r="D47">
        <v>255</v>
      </c>
      <c r="E47">
        <v>440</v>
      </c>
      <c r="F47">
        <v>197</v>
      </c>
      <c r="G47">
        <v>140</v>
      </c>
      <c r="H47">
        <v>50</v>
      </c>
      <c r="I47">
        <v>232</v>
      </c>
      <c r="J47">
        <v>79</v>
      </c>
      <c r="K47">
        <v>388</v>
      </c>
      <c r="L47">
        <v>242</v>
      </c>
      <c r="M47">
        <v>170</v>
      </c>
      <c r="N47">
        <v>170</v>
      </c>
      <c r="O47">
        <v>2428</v>
      </c>
      <c r="Q47" s="1">
        <f>C47/$C$434</f>
        <v>1.6045816978942952E-3</v>
      </c>
      <c r="R47" s="1">
        <f t="shared" si="5"/>
        <v>1.0749515217941152E-2</v>
      </c>
      <c r="S47" s="1">
        <f t="shared" si="9"/>
        <v>1.4936012763501816E-2</v>
      </c>
      <c r="T47" s="1">
        <f t="shared" si="10"/>
        <v>7.9106934907440876E-3</v>
      </c>
      <c r="U47" s="1">
        <f t="shared" si="11"/>
        <v>6.6736581180284107E-3</v>
      </c>
      <c r="V47" s="1">
        <f t="shared" si="12"/>
        <v>1.6737522177216885E-3</v>
      </c>
      <c r="W47" s="1">
        <f t="shared" si="13"/>
        <v>5.1950378431635993E-3</v>
      </c>
      <c r="X47" s="1">
        <f t="shared" si="14"/>
        <v>4.220536382092104E-3</v>
      </c>
      <c r="Y47" s="1">
        <f t="shared" si="15"/>
        <v>9.9301307808461088E-3</v>
      </c>
      <c r="Z47" s="1">
        <f t="shared" si="6"/>
        <v>6.1408850994721887E-3</v>
      </c>
      <c r="AA47" s="1">
        <f t="shared" si="2"/>
        <v>4.2560648924717722E-3</v>
      </c>
      <c r="AB47" s="1">
        <f t="shared" si="3"/>
        <v>5.975815523059618E-3</v>
      </c>
      <c r="AC47" s="1">
        <f t="shared" si="4"/>
        <v>6.3946567217639562E-3</v>
      </c>
      <c r="AD47" s="1" t="str">
        <f t="shared" si="7"/>
        <v>A+ GLASS</v>
      </c>
      <c r="AE47" s="1" t="str">
        <f t="shared" si="8"/>
        <v>5390</v>
      </c>
      <c r="AF47" s="3">
        <f>Q47*Feuil2!$B$3</f>
        <v>56.761949196474859</v>
      </c>
      <c r="AG47" s="3">
        <f>R47*Feuil2!$C$3</f>
        <v>380.2632408734508</v>
      </c>
      <c r="AH47" s="3">
        <f>S47*Feuil2!$D$3</f>
        <v>586.95244237754173</v>
      </c>
      <c r="AI47" s="3">
        <f>T47*Feuil2!$E$2</f>
        <v>296.51652411356065</v>
      </c>
      <c r="AJ47" s="3">
        <f>U47*Feuil2!$F$3</f>
        <v>170.50128706263706</v>
      </c>
      <c r="AK47" s="3">
        <f>V47*Feuil2!$G$3</f>
        <v>67.431660696950431</v>
      </c>
      <c r="AL47" s="3">
        <f>W47*Feuil2!$H$3</f>
        <v>188.87848448206373</v>
      </c>
      <c r="AM47" s="3">
        <f>X47*Feuil2!$I$2</f>
        <v>90.159098194251527</v>
      </c>
      <c r="AN47" s="3">
        <f>Y47*Feuil2!$J$3</f>
        <v>419.57622706216574</v>
      </c>
      <c r="AO47" s="3">
        <f>Z47*Feuil2!$K$3</f>
        <v>247.40225943970771</v>
      </c>
      <c r="AP47" s="3">
        <f>AA47*Feuil2!$L$3</f>
        <v>154.73979420674462</v>
      </c>
      <c r="AQ47" s="3">
        <f>AB47*Feuil2!$M$3</f>
        <v>199.65080146231725</v>
      </c>
      <c r="AR47" s="3">
        <f>AC47*Feuil2!$N$3</f>
        <v>2677.3563136436906</v>
      </c>
    </row>
    <row r="48" spans="1:44" x14ac:dyDescent="0.35">
      <c r="A48" t="s">
        <v>100</v>
      </c>
      <c r="B48" t="s">
        <v>101</v>
      </c>
      <c r="C48">
        <v>111</v>
      </c>
      <c r="D48">
        <v>214</v>
      </c>
      <c r="E48">
        <v>385</v>
      </c>
      <c r="F48">
        <v>0</v>
      </c>
      <c r="G48">
        <v>49</v>
      </c>
      <c r="H48">
        <v>464</v>
      </c>
      <c r="I48">
        <v>151</v>
      </c>
      <c r="J48">
        <v>0</v>
      </c>
      <c r="K48">
        <v>411</v>
      </c>
      <c r="L48">
        <v>165</v>
      </c>
      <c r="M48">
        <v>227</v>
      </c>
      <c r="N48">
        <v>227</v>
      </c>
      <c r="O48">
        <v>2404</v>
      </c>
      <c r="Q48" s="1">
        <f>C48/$C$434</f>
        <v>2.74013182255795E-3</v>
      </c>
      <c r="R48" s="1">
        <f t="shared" si="5"/>
        <v>9.0211617907427696E-3</v>
      </c>
      <c r="S48" s="1">
        <f t="shared" si="9"/>
        <v>1.3069011168064089E-2</v>
      </c>
      <c r="T48" s="1">
        <f t="shared" si="10"/>
        <v>0</v>
      </c>
      <c r="U48" s="1">
        <f t="shared" si="11"/>
        <v>2.3357803413099438E-3</v>
      </c>
      <c r="V48" s="1">
        <f t="shared" si="12"/>
        <v>1.5532420580457269E-2</v>
      </c>
      <c r="W48" s="1">
        <f t="shared" si="13"/>
        <v>3.3812530789556184E-3</v>
      </c>
      <c r="X48" s="1">
        <f t="shared" si="14"/>
        <v>0</v>
      </c>
      <c r="Y48" s="1">
        <f t="shared" si="15"/>
        <v>1.0518772553937501E-2</v>
      </c>
      <c r="Z48" s="1">
        <f t="shared" si="6"/>
        <v>4.1869671132764921E-3</v>
      </c>
      <c r="AA48" s="1">
        <f t="shared" si="2"/>
        <v>5.6830984152417196E-3</v>
      </c>
      <c r="AB48" s="1">
        <f t="shared" si="3"/>
        <v>7.9794713160854895E-3</v>
      </c>
      <c r="AC48" s="1">
        <f t="shared" si="4"/>
        <v>6.3314475943659597E-3</v>
      </c>
      <c r="AD48" s="1" t="str">
        <f t="shared" si="7"/>
        <v>FRESNEL AUTOMOBILES</v>
      </c>
      <c r="AE48" s="1" t="str">
        <f t="shared" si="8"/>
        <v>3042</v>
      </c>
      <c r="AF48" s="3">
        <f>Q48*Feuil2!$B$3</f>
        <v>96.931944012441676</v>
      </c>
      <c r="AG48" s="3">
        <f>R48*Feuil2!$C$3</f>
        <v>319.12287665458223</v>
      </c>
      <c r="AH48" s="3">
        <f>S48*Feuil2!$D$3</f>
        <v>513.58338708034898</v>
      </c>
      <c r="AI48" s="3">
        <f>T48*Feuil2!$E$2</f>
        <v>0</v>
      </c>
      <c r="AJ48" s="3">
        <f>U48*Feuil2!$F$3</f>
        <v>59.675450471922971</v>
      </c>
      <c r="AK48" s="3">
        <f>V48*Feuil2!$G$3</f>
        <v>625.76581126769997</v>
      </c>
      <c r="AL48" s="3">
        <f>W48*Feuil2!$H$3</f>
        <v>122.93384119306732</v>
      </c>
      <c r="AM48" s="3">
        <f>X48*Feuil2!$I$2</f>
        <v>0</v>
      </c>
      <c r="AN48" s="3">
        <f>Y48*Feuil2!$J$3</f>
        <v>444.44801371791266</v>
      </c>
      <c r="AO48" s="3">
        <f>Z48*Feuil2!$K$3</f>
        <v>168.6833587088916</v>
      </c>
      <c r="AP48" s="3">
        <f>AA48*Feuil2!$L$3</f>
        <v>206.62313697018254</v>
      </c>
      <c r="AQ48" s="3">
        <f>AB48*Feuil2!$M$3</f>
        <v>266.59254077615299</v>
      </c>
      <c r="AR48" s="3">
        <f>AC48*Feuil2!$N$3</f>
        <v>2650.8915065895517</v>
      </c>
    </row>
    <row r="49" spans="1:44" x14ac:dyDescent="0.35">
      <c r="A49" t="s">
        <v>102</v>
      </c>
      <c r="B49" t="s">
        <v>103</v>
      </c>
      <c r="C49">
        <v>177</v>
      </c>
      <c r="D49">
        <v>51</v>
      </c>
      <c r="E49">
        <v>34</v>
      </c>
      <c r="F49">
        <v>191</v>
      </c>
      <c r="G49">
        <v>154</v>
      </c>
      <c r="H49">
        <v>14</v>
      </c>
      <c r="I49">
        <v>1166</v>
      </c>
      <c r="J49">
        <v>192</v>
      </c>
      <c r="K49">
        <v>0</v>
      </c>
      <c r="L49">
        <v>111</v>
      </c>
      <c r="M49">
        <v>24</v>
      </c>
      <c r="N49">
        <v>24</v>
      </c>
      <c r="O49">
        <v>2138</v>
      </c>
      <c r="Q49" s="1">
        <f>C49/$C$434</f>
        <v>4.3693993927275418E-3</v>
      </c>
      <c r="R49" s="1">
        <f t="shared" si="5"/>
        <v>2.1499030435882301E-3</v>
      </c>
      <c r="S49" s="1">
        <f t="shared" si="9"/>
        <v>1.1541464408160495E-3</v>
      </c>
      <c r="T49" s="1">
        <f t="shared" si="10"/>
        <v>7.6697586636148259E-3</v>
      </c>
      <c r="U49" s="1">
        <f t="shared" si="11"/>
        <v>7.3410239298312514E-3</v>
      </c>
      <c r="V49" s="1">
        <f t="shared" si="12"/>
        <v>4.6865062096207276E-4</v>
      </c>
      <c r="W49" s="1">
        <f t="shared" si="13"/>
        <v>2.6109543642796364E-2</v>
      </c>
      <c r="X49" s="1">
        <f t="shared" si="14"/>
        <v>1.0257506143818785E-2</v>
      </c>
      <c r="Y49" s="1">
        <f t="shared" si="15"/>
        <v>0</v>
      </c>
      <c r="Z49" s="1">
        <f t="shared" si="6"/>
        <v>2.8166869671132763E-3</v>
      </c>
      <c r="AA49" s="1">
        <f t="shared" si="2"/>
        <v>6.0085622011366198E-4</v>
      </c>
      <c r="AB49" s="1">
        <f t="shared" si="3"/>
        <v>8.4364454443194598E-4</v>
      </c>
      <c r="AC49" s="1">
        <f t="shared" si="4"/>
        <v>5.6308797657048347E-3</v>
      </c>
      <c r="AD49" s="1" t="str">
        <f t="shared" si="7"/>
        <v>MANON</v>
      </c>
      <c r="AE49" s="1" t="str">
        <f t="shared" si="8"/>
        <v>5307</v>
      </c>
      <c r="AF49" s="3">
        <f>Q49*Feuil2!$B$3</f>
        <v>154.56715396578537</v>
      </c>
      <c r="AG49" s="3">
        <f>R49*Feuil2!$C$3</f>
        <v>76.052648174690148</v>
      </c>
      <c r="AH49" s="3">
        <f>S49*Feuil2!$D$3</f>
        <v>45.355416001900949</v>
      </c>
      <c r="AI49" s="3">
        <f>T49*Feuil2!$E$2</f>
        <v>287.48556398827452</v>
      </c>
      <c r="AJ49" s="3">
        <f>U49*Feuil2!$F$3</f>
        <v>187.55141576890077</v>
      </c>
      <c r="AK49" s="3">
        <f>V49*Feuil2!$G$3</f>
        <v>18.880864995146119</v>
      </c>
      <c r="AL49" s="3">
        <f>W49*Feuil2!$H$3</f>
        <v>949.27721080209596</v>
      </c>
      <c r="AM49" s="3">
        <f>X49*Feuil2!$I$2</f>
        <v>219.12084624425688</v>
      </c>
      <c r="AN49" s="3">
        <f>Y49*Feuil2!$J$3</f>
        <v>0</v>
      </c>
      <c r="AO49" s="3">
        <f>Z49*Feuil2!$K$3</f>
        <v>113.47789585870889</v>
      </c>
      <c r="AP49" s="3">
        <f>AA49*Feuil2!$L$3</f>
        <v>21.845618005658064</v>
      </c>
      <c r="AQ49" s="3">
        <f>AB49*Feuil2!$M$3</f>
        <v>28.185995500562431</v>
      </c>
      <c r="AR49" s="3">
        <f>AC49*Feuil2!$N$3</f>
        <v>2357.5732284061824</v>
      </c>
    </row>
    <row r="50" spans="1:44" x14ac:dyDescent="0.35">
      <c r="A50" t="s">
        <v>104</v>
      </c>
      <c r="B50" t="s">
        <v>105</v>
      </c>
      <c r="C50">
        <v>241</v>
      </c>
      <c r="D50">
        <v>207</v>
      </c>
      <c r="E50">
        <v>0</v>
      </c>
      <c r="F50">
        <v>310</v>
      </c>
      <c r="G50">
        <v>161</v>
      </c>
      <c r="H50">
        <v>0</v>
      </c>
      <c r="I50">
        <v>448</v>
      </c>
      <c r="J50">
        <v>0</v>
      </c>
      <c r="K50">
        <v>295</v>
      </c>
      <c r="L50">
        <v>356</v>
      </c>
      <c r="M50">
        <v>33</v>
      </c>
      <c r="N50">
        <v>33</v>
      </c>
      <c r="O50">
        <v>2084</v>
      </c>
      <c r="Q50" s="1">
        <f>C50/$C$434</f>
        <v>5.9492952183465399E-3</v>
      </c>
      <c r="R50" s="1">
        <f t="shared" si="5"/>
        <v>8.726077059269876E-3</v>
      </c>
      <c r="S50" s="1">
        <f t="shared" si="9"/>
        <v>0</v>
      </c>
      <c r="T50" s="1">
        <f t="shared" si="10"/>
        <v>1.2448299401678513E-2</v>
      </c>
      <c r="U50" s="1">
        <f t="shared" si="11"/>
        <v>7.6747068357326722E-3</v>
      </c>
      <c r="V50" s="1">
        <f t="shared" si="12"/>
        <v>0</v>
      </c>
      <c r="W50" s="1">
        <f t="shared" si="13"/>
        <v>1.003179721438488E-2</v>
      </c>
      <c r="X50" s="1">
        <f t="shared" si="14"/>
        <v>0</v>
      </c>
      <c r="Y50" s="1">
        <f t="shared" si="15"/>
        <v>7.5499705679113452E-3</v>
      </c>
      <c r="Z50" s="1">
        <f t="shared" si="6"/>
        <v>9.0336987413723105E-3</v>
      </c>
      <c r="AA50" s="1">
        <f t="shared" si="2"/>
        <v>8.2617730265628522E-4</v>
      </c>
      <c r="AB50" s="1">
        <f t="shared" si="3"/>
        <v>1.1600112485939257E-3</v>
      </c>
      <c r="AC50" s="1">
        <f t="shared" si="4"/>
        <v>5.4886592290593426E-3</v>
      </c>
      <c r="AD50" s="1" t="str">
        <f t="shared" si="7"/>
        <v>INNOV AUTO</v>
      </c>
      <c r="AE50" s="1" t="str">
        <f t="shared" si="8"/>
        <v>3667</v>
      </c>
      <c r="AF50" s="3">
        <f>Q50*Feuil2!$B$3</f>
        <v>210.45584240539137</v>
      </c>
      <c r="AG50" s="3">
        <f>R50*Feuil2!$C$3</f>
        <v>308.68427788550713</v>
      </c>
      <c r="AH50" s="3">
        <f>S50*Feuil2!$D$3</f>
        <v>0</v>
      </c>
      <c r="AI50" s="3">
        <f>T50*Feuil2!$E$2</f>
        <v>466.59960647311567</v>
      </c>
      <c r="AJ50" s="3">
        <f>U50*Feuil2!$F$3</f>
        <v>196.07648012203262</v>
      </c>
      <c r="AK50" s="3">
        <f>V50*Feuil2!$G$3</f>
        <v>0</v>
      </c>
      <c r="AL50" s="3">
        <f>W50*Feuil2!$H$3</f>
        <v>364.73086658605399</v>
      </c>
      <c r="AM50" s="3">
        <f>X50*Feuil2!$I$2</f>
        <v>0</v>
      </c>
      <c r="AN50" s="3">
        <f>Y50*Feuil2!$J$3</f>
        <v>319.00769841066722</v>
      </c>
      <c r="AO50" s="3">
        <f>Z50*Feuil2!$K$3</f>
        <v>363.94712545676009</v>
      </c>
      <c r="AP50" s="3">
        <f>AA50*Feuil2!$L$3</f>
        <v>30.037724757779838</v>
      </c>
      <c r="AQ50" s="3">
        <f>AB50*Feuil2!$M$3</f>
        <v>38.755743813273341</v>
      </c>
      <c r="AR50" s="3">
        <f>AC50*Feuil2!$N$3</f>
        <v>2298.0274125343699</v>
      </c>
    </row>
    <row r="51" spans="1:44" x14ac:dyDescent="0.35">
      <c r="A51" t="s">
        <v>106</v>
      </c>
      <c r="B51" t="s">
        <v>107</v>
      </c>
      <c r="C51">
        <v>466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437</v>
      </c>
      <c r="L51">
        <v>456</v>
      </c>
      <c r="M51">
        <v>604</v>
      </c>
      <c r="N51">
        <v>604</v>
      </c>
      <c r="O51">
        <v>2567</v>
      </c>
      <c r="Q51" s="1">
        <f>C51/$C$434</f>
        <v>1.1503616480288331E-2</v>
      </c>
      <c r="R51" s="1">
        <f t="shared" si="5"/>
        <v>0</v>
      </c>
      <c r="S51" s="1">
        <f t="shared" si="9"/>
        <v>0</v>
      </c>
      <c r="T51" s="1">
        <f t="shared" si="10"/>
        <v>0</v>
      </c>
      <c r="U51" s="1">
        <f t="shared" si="11"/>
        <v>0</v>
      </c>
      <c r="V51" s="1">
        <f t="shared" si="12"/>
        <v>0</v>
      </c>
      <c r="W51" s="1">
        <f t="shared" si="13"/>
        <v>0</v>
      </c>
      <c r="X51" s="1">
        <f t="shared" si="14"/>
        <v>0</v>
      </c>
      <c r="Y51" s="1">
        <f t="shared" si="15"/>
        <v>1.1184193688736467E-2</v>
      </c>
      <c r="Z51" s="1">
        <f t="shared" si="6"/>
        <v>1.1571254567600487E-2</v>
      </c>
      <c r="AA51" s="1">
        <f t="shared" si="2"/>
        <v>1.5121548206193826E-2</v>
      </c>
      <c r="AB51" s="1">
        <f t="shared" si="3"/>
        <v>2.123172103487064E-2</v>
      </c>
      <c r="AC51" s="1">
        <f t="shared" si="4"/>
        <v>6.7607429179440178E-3</v>
      </c>
      <c r="AD51" s="1" t="str">
        <f t="shared" si="7"/>
        <v>MARY AUTOMOBILES COUTANCES</v>
      </c>
      <c r="AE51" s="1" t="str">
        <f t="shared" si="8"/>
        <v>2002</v>
      </c>
      <c r="AF51" s="3">
        <f>Q51*Feuil2!$B$3</f>
        <v>406.93951270088127</v>
      </c>
      <c r="AG51" s="3">
        <f>R51*Feuil2!$C$3</f>
        <v>0</v>
      </c>
      <c r="AH51" s="3">
        <f>S51*Feuil2!$D$3</f>
        <v>0</v>
      </c>
      <c r="AI51" s="3">
        <f>T51*Feuil2!$E$2</f>
        <v>0</v>
      </c>
      <c r="AJ51" s="3">
        <f>U51*Feuil2!$F$3</f>
        <v>0</v>
      </c>
      <c r="AK51" s="3">
        <f>V51*Feuil2!$G$3</f>
        <v>0</v>
      </c>
      <c r="AL51" s="3">
        <f>W51*Feuil2!$H$3</f>
        <v>0</v>
      </c>
      <c r="AM51" s="3">
        <f>X51*Feuil2!$I$2</f>
        <v>0</v>
      </c>
      <c r="AN51" s="3">
        <f>Y51*Feuil2!$J$3</f>
        <v>472.56394645919181</v>
      </c>
      <c r="AO51" s="3">
        <f>Z51*Feuil2!$K$3</f>
        <v>466.17946406820948</v>
      </c>
      <c r="AP51" s="3">
        <f>AA51*Feuil2!$L$3</f>
        <v>549.78138647572791</v>
      </c>
      <c r="AQ51" s="3">
        <f>AB51*Feuil2!$M$3</f>
        <v>709.34755343082111</v>
      </c>
      <c r="AR51" s="3">
        <f>AC51*Feuil2!$N$3</f>
        <v>2830.6316544989099</v>
      </c>
    </row>
    <row r="52" spans="1:44" x14ac:dyDescent="0.35">
      <c r="A52" t="s">
        <v>108</v>
      </c>
      <c r="B52" t="s">
        <v>45</v>
      </c>
      <c r="C52">
        <v>0</v>
      </c>
      <c r="D52">
        <v>209</v>
      </c>
      <c r="E52">
        <v>1218</v>
      </c>
      <c r="F52">
        <v>383</v>
      </c>
      <c r="G52">
        <v>112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1922</v>
      </c>
      <c r="Q52" s="1">
        <f>C52/$C$434</f>
        <v>0</v>
      </c>
      <c r="R52" s="1">
        <f t="shared" si="5"/>
        <v>8.8103869825478451E-3</v>
      </c>
      <c r="S52" s="1">
        <f t="shared" si="9"/>
        <v>4.1345598968057298E-2</v>
      </c>
      <c r="T52" s="1">
        <f t="shared" si="10"/>
        <v>1.5379673131751195E-2</v>
      </c>
      <c r="U52" s="1">
        <f t="shared" si="11"/>
        <v>5.3389264944227284E-3</v>
      </c>
      <c r="V52" s="1">
        <f t="shared" si="12"/>
        <v>0</v>
      </c>
      <c r="W52" s="1">
        <f t="shared" si="13"/>
        <v>0</v>
      </c>
      <c r="X52" s="1">
        <f t="shared" si="14"/>
        <v>0</v>
      </c>
      <c r="Y52" s="1">
        <f t="shared" si="15"/>
        <v>0</v>
      </c>
      <c r="Z52" s="1">
        <f t="shared" si="6"/>
        <v>0</v>
      </c>
      <c r="AA52" s="1">
        <f t="shared" si="2"/>
        <v>0</v>
      </c>
      <c r="AB52" s="1">
        <f t="shared" si="3"/>
        <v>0</v>
      </c>
      <c r="AC52" s="1">
        <f t="shared" si="4"/>
        <v>5.0619976191228679E-3</v>
      </c>
      <c r="AD52" s="1" t="str">
        <f t="shared" si="7"/>
        <v>JFC DEAUVILLE</v>
      </c>
      <c r="AE52" s="1" t="str">
        <f t="shared" si="8"/>
        <v>5194</v>
      </c>
      <c r="AF52" s="3">
        <f>Q52*Feuil2!$B$3</f>
        <v>0</v>
      </c>
      <c r="AG52" s="3">
        <f>R52*Feuil2!$C$3</f>
        <v>311.66673467667141</v>
      </c>
      <c r="AH52" s="3">
        <f>S52*Feuil2!$D$3</f>
        <v>1624.7910791269221</v>
      </c>
      <c r="AI52" s="3">
        <f>T52*Feuil2!$E$2</f>
        <v>576.47628799743006</v>
      </c>
      <c r="AJ52" s="3">
        <f>U52*Feuil2!$F$3</f>
        <v>136.40102965010965</v>
      </c>
      <c r="AK52" s="3">
        <f>V52*Feuil2!$G$3</f>
        <v>0</v>
      </c>
      <c r="AL52" s="3">
        <f>W52*Feuil2!$H$3</f>
        <v>0</v>
      </c>
      <c r="AM52" s="3">
        <f>X52*Feuil2!$I$2</f>
        <v>0</v>
      </c>
      <c r="AN52" s="3">
        <f>Y52*Feuil2!$J$3</f>
        <v>0</v>
      </c>
      <c r="AO52" s="3">
        <f>Z52*Feuil2!$K$3</f>
        <v>0</v>
      </c>
      <c r="AP52" s="3">
        <f>AA52*Feuil2!$L$3</f>
        <v>0</v>
      </c>
      <c r="AQ52" s="3">
        <f>AB52*Feuil2!$M$3</f>
        <v>0</v>
      </c>
      <c r="AR52" s="3">
        <f>AC52*Feuil2!$N$3</f>
        <v>2119.3899649189343</v>
      </c>
    </row>
    <row r="53" spans="1:44" x14ac:dyDescent="0.35">
      <c r="A53" t="s">
        <v>109</v>
      </c>
      <c r="B53" t="s">
        <v>110</v>
      </c>
      <c r="C53">
        <v>0</v>
      </c>
      <c r="D53">
        <v>288</v>
      </c>
      <c r="E53">
        <v>119</v>
      </c>
      <c r="F53">
        <v>17</v>
      </c>
      <c r="G53">
        <v>102</v>
      </c>
      <c r="H53">
        <v>25</v>
      </c>
      <c r="I53">
        <v>41</v>
      </c>
      <c r="J53">
        <v>0</v>
      </c>
      <c r="K53">
        <v>57</v>
      </c>
      <c r="L53">
        <v>24</v>
      </c>
      <c r="M53">
        <v>1219</v>
      </c>
      <c r="N53">
        <v>1219</v>
      </c>
      <c r="O53">
        <v>3111</v>
      </c>
      <c r="Q53" s="1">
        <f>C53/$C$434</f>
        <v>0</v>
      </c>
      <c r="R53" s="1">
        <f t="shared" si="5"/>
        <v>1.2140628952027653E-2</v>
      </c>
      <c r="S53" s="1">
        <f t="shared" si="9"/>
        <v>4.0395125428561727E-3</v>
      </c>
      <c r="T53" s="1">
        <f t="shared" si="10"/>
        <v>6.8264867686624101E-4</v>
      </c>
      <c r="U53" s="1">
        <f t="shared" si="11"/>
        <v>4.8622366288492711E-3</v>
      </c>
      <c r="V53" s="1">
        <f t="shared" si="12"/>
        <v>8.3687610886084424E-4</v>
      </c>
      <c r="W53" s="1">
        <f t="shared" si="13"/>
        <v>9.1808858435218769E-4</v>
      </c>
      <c r="X53" s="1">
        <f t="shared" si="14"/>
        <v>0</v>
      </c>
      <c r="Y53" s="1">
        <f t="shared" si="15"/>
        <v>1.458807872443887E-3</v>
      </c>
      <c r="Z53" s="1">
        <f t="shared" si="6"/>
        <v>6.0901339829476245E-4</v>
      </c>
      <c r="AA53" s="1">
        <f t="shared" si="2"/>
        <v>3.0518488846606413E-2</v>
      </c>
      <c r="AB53" s="1">
        <f t="shared" si="3"/>
        <v>4.2850112485939257E-2</v>
      </c>
      <c r="AC53" s="1">
        <f t="shared" si="4"/>
        <v>8.193483138965266E-3</v>
      </c>
      <c r="AD53" s="1" t="str">
        <f t="shared" si="7"/>
        <v>SLR AUTOMOBILE</v>
      </c>
      <c r="AE53" s="1" t="str">
        <f t="shared" si="8"/>
        <v>3483</v>
      </c>
      <c r="AF53" s="3">
        <f>Q53*Feuil2!$B$3</f>
        <v>0</v>
      </c>
      <c r="AG53" s="3">
        <f>R53*Feuil2!$C$3</f>
        <v>429.47377792766207</v>
      </c>
      <c r="AH53" s="3">
        <f>S53*Feuil2!$D$3</f>
        <v>158.74395600665332</v>
      </c>
      <c r="AI53" s="3">
        <f>T53*Feuil2!$E$2</f>
        <v>25.587720354977311</v>
      </c>
      <c r="AJ53" s="3">
        <f>U53*Feuil2!$F$3</f>
        <v>124.22236628849272</v>
      </c>
      <c r="AK53" s="3">
        <f>V53*Feuil2!$G$3</f>
        <v>33.715830348475215</v>
      </c>
      <c r="AL53" s="3">
        <f>W53*Feuil2!$H$3</f>
        <v>33.379387343812979</v>
      </c>
      <c r="AM53" s="3">
        <f>X53*Feuil2!$I$2</f>
        <v>0</v>
      </c>
      <c r="AN53" s="3">
        <f>Y53*Feuil2!$J$3</f>
        <v>61.638775625111975</v>
      </c>
      <c r="AO53" s="3">
        <f>Z53*Feuil2!$K$3</f>
        <v>24.535761266747869</v>
      </c>
      <c r="AP53" s="3">
        <f>AA53*Feuil2!$L$3</f>
        <v>1109.5753478707159</v>
      </c>
      <c r="AQ53" s="3">
        <f>AB53*Feuil2!$M$3</f>
        <v>1431.6136881327336</v>
      </c>
      <c r="AR53" s="3">
        <f>AC53*Feuil2!$N$3</f>
        <v>3430.5006143927185</v>
      </c>
    </row>
    <row r="54" spans="1:44" x14ac:dyDescent="0.35">
      <c r="A54" t="s">
        <v>111</v>
      </c>
      <c r="B54" t="s">
        <v>112</v>
      </c>
      <c r="C54">
        <v>190</v>
      </c>
      <c r="D54">
        <v>33</v>
      </c>
      <c r="E54">
        <v>105</v>
      </c>
      <c r="F54">
        <v>0</v>
      </c>
      <c r="G54">
        <v>0</v>
      </c>
      <c r="H54">
        <v>34</v>
      </c>
      <c r="I54">
        <v>1262</v>
      </c>
      <c r="J54">
        <v>0</v>
      </c>
      <c r="K54">
        <v>248</v>
      </c>
      <c r="L54">
        <v>0</v>
      </c>
      <c r="M54">
        <v>0</v>
      </c>
      <c r="N54">
        <v>0</v>
      </c>
      <c r="O54">
        <v>1872</v>
      </c>
      <c r="Q54" s="1">
        <f>C54/$C$434</f>
        <v>4.6903157323064009E-3</v>
      </c>
      <c r="R54" s="1">
        <f t="shared" si="5"/>
        <v>1.3911137340865019E-3</v>
      </c>
      <c r="S54" s="1">
        <f t="shared" si="9"/>
        <v>3.5642757731083881E-3</v>
      </c>
      <c r="T54" s="1">
        <f t="shared" si="10"/>
        <v>0</v>
      </c>
      <c r="U54" s="1">
        <f t="shared" si="11"/>
        <v>0</v>
      </c>
      <c r="V54" s="1">
        <f t="shared" si="12"/>
        <v>1.1381515080507482E-3</v>
      </c>
      <c r="W54" s="1">
        <f t="shared" si="13"/>
        <v>2.8259214474450265E-2</v>
      </c>
      <c r="X54" s="1">
        <f t="shared" si="14"/>
        <v>0</v>
      </c>
      <c r="Y54" s="1">
        <f t="shared" si="15"/>
        <v>6.3470939011593683E-3</v>
      </c>
      <c r="Z54" s="1">
        <f t="shared" si="6"/>
        <v>0</v>
      </c>
      <c r="AA54" s="1">
        <f t="shared" si="2"/>
        <v>0</v>
      </c>
      <c r="AB54" s="1">
        <f t="shared" si="3"/>
        <v>0</v>
      </c>
      <c r="AC54" s="1">
        <f t="shared" si="4"/>
        <v>4.9303119370437088E-3</v>
      </c>
      <c r="AD54" s="1" t="str">
        <f t="shared" si="7"/>
        <v>BUSNEL FRANCK</v>
      </c>
      <c r="AE54" s="1" t="str">
        <f t="shared" si="8"/>
        <v>3730</v>
      </c>
      <c r="AF54" s="3">
        <f>Q54*Feuil2!$B$3</f>
        <v>165.91954380508034</v>
      </c>
      <c r="AG54" s="3">
        <f>R54*Feuil2!$C$3</f>
        <v>49.210537054211272</v>
      </c>
      <c r="AH54" s="3">
        <f>S54*Feuil2!$D$3</f>
        <v>140.06819647645881</v>
      </c>
      <c r="AI54" s="3">
        <f>T54*Feuil2!$E$2</f>
        <v>0</v>
      </c>
      <c r="AJ54" s="3">
        <f>U54*Feuil2!$F$3</f>
        <v>0</v>
      </c>
      <c r="AK54" s="3">
        <f>V54*Feuil2!$G$3</f>
        <v>45.853529273926291</v>
      </c>
      <c r="AL54" s="3">
        <f>W54*Feuil2!$H$3</f>
        <v>1027.4338250705362</v>
      </c>
      <c r="AM54" s="3">
        <f>X54*Feuil2!$I$2</f>
        <v>0</v>
      </c>
      <c r="AN54" s="3">
        <f>Y54*Feuil2!$J$3</f>
        <v>268.18274307066264</v>
      </c>
      <c r="AO54" s="3">
        <f>Z54*Feuil2!$K$3</f>
        <v>0</v>
      </c>
      <c r="AP54" s="3">
        <f>AA54*Feuil2!$L$3</f>
        <v>0</v>
      </c>
      <c r="AQ54" s="3">
        <f>AB54*Feuil2!$M$3</f>
        <v>0</v>
      </c>
      <c r="AR54" s="3">
        <f>AC54*Feuil2!$N$3</f>
        <v>2064.2549502228121</v>
      </c>
    </row>
    <row r="55" spans="1:44" x14ac:dyDescent="0.35">
      <c r="A55" t="s">
        <v>113</v>
      </c>
      <c r="B55" t="s">
        <v>114</v>
      </c>
      <c r="C55">
        <v>245</v>
      </c>
      <c r="D55">
        <v>227</v>
      </c>
      <c r="E55">
        <v>430</v>
      </c>
      <c r="F55">
        <v>20</v>
      </c>
      <c r="G55">
        <v>14</v>
      </c>
      <c r="H55">
        <v>0</v>
      </c>
      <c r="I55">
        <v>473</v>
      </c>
      <c r="J55">
        <v>186</v>
      </c>
      <c r="K55">
        <v>236</v>
      </c>
      <c r="L55">
        <v>0</v>
      </c>
      <c r="M55">
        <v>32</v>
      </c>
      <c r="N55">
        <v>32</v>
      </c>
      <c r="O55">
        <v>1895</v>
      </c>
      <c r="Q55" s="1">
        <f>C55/$C$434</f>
        <v>6.0480387074477275E-3</v>
      </c>
      <c r="R55" s="1">
        <f t="shared" si="5"/>
        <v>9.5691762920495742E-3</v>
      </c>
      <c r="S55" s="1">
        <f t="shared" si="9"/>
        <v>1.4596557927967683E-2</v>
      </c>
      <c r="T55" s="1">
        <f t="shared" si="10"/>
        <v>8.0311609043087176E-4</v>
      </c>
      <c r="U55" s="1">
        <f t="shared" si="11"/>
        <v>6.6736581180284105E-4</v>
      </c>
      <c r="V55" s="1">
        <f t="shared" si="12"/>
        <v>0</v>
      </c>
      <c r="W55" s="1">
        <f t="shared" si="13"/>
        <v>1.059160732679475E-2</v>
      </c>
      <c r="X55" s="1">
        <f t="shared" si="14"/>
        <v>9.9369590768244465E-3</v>
      </c>
      <c r="Y55" s="1">
        <f t="shared" si="15"/>
        <v>6.0399764543290759E-3</v>
      </c>
      <c r="Z55" s="1">
        <f t="shared" si="6"/>
        <v>0</v>
      </c>
      <c r="AA55" s="1">
        <f t="shared" si="2"/>
        <v>8.0114162681821594E-4</v>
      </c>
      <c r="AB55" s="1">
        <f t="shared" si="3"/>
        <v>1.1248593925759281E-3</v>
      </c>
      <c r="AC55" s="1">
        <f t="shared" si="4"/>
        <v>4.9908873508001219E-3</v>
      </c>
      <c r="AD55" s="1" t="str">
        <f t="shared" si="7"/>
        <v>SARL PIREL</v>
      </c>
      <c r="AE55" s="1" t="str">
        <f t="shared" si="8"/>
        <v>6164</v>
      </c>
      <c r="AF55" s="3">
        <f>Q55*Feuil2!$B$3</f>
        <v>213.94888543286675</v>
      </c>
      <c r="AG55" s="3">
        <f>R55*Feuil2!$C$3</f>
        <v>338.50884579715029</v>
      </c>
      <c r="AH55" s="3">
        <f>S55*Feuil2!$D$3</f>
        <v>573.61261414168848</v>
      </c>
      <c r="AI55" s="3">
        <f>T55*Feuil2!$E$2</f>
        <v>30.103200417620368</v>
      </c>
      <c r="AJ55" s="3">
        <f>U55*Feuil2!$F$3</f>
        <v>17.050128706263706</v>
      </c>
      <c r="AK55" s="3">
        <f>V55*Feuil2!$G$3</f>
        <v>0</v>
      </c>
      <c r="AL55" s="3">
        <f>W55*Feuil2!$H$3</f>
        <v>385.08415155179364</v>
      </c>
      <c r="AM55" s="3">
        <f>X55*Feuil2!$I$2</f>
        <v>212.27331979912384</v>
      </c>
      <c r="AN55" s="3">
        <f>Y55*Feuil2!$J$3</f>
        <v>255.20615872853378</v>
      </c>
      <c r="AO55" s="3">
        <f>Z55*Feuil2!$K$3</f>
        <v>0</v>
      </c>
      <c r="AP55" s="3">
        <f>AA55*Feuil2!$L$3</f>
        <v>29.127490674210751</v>
      </c>
      <c r="AQ55" s="3">
        <f>AB55*Feuil2!$M$3</f>
        <v>37.581327334083248</v>
      </c>
      <c r="AR55" s="3">
        <f>AC55*Feuil2!$N$3</f>
        <v>2089.6170569830283</v>
      </c>
    </row>
    <row r="56" spans="1:44" x14ac:dyDescent="0.35">
      <c r="A56" t="s">
        <v>115</v>
      </c>
      <c r="B56" t="s">
        <v>116</v>
      </c>
      <c r="C56">
        <v>78</v>
      </c>
      <c r="D56">
        <v>44</v>
      </c>
      <c r="E56">
        <v>31</v>
      </c>
      <c r="F56">
        <v>65</v>
      </c>
      <c r="G56">
        <v>57</v>
      </c>
      <c r="H56">
        <v>222</v>
      </c>
      <c r="I56">
        <v>1057</v>
      </c>
      <c r="J56">
        <v>27</v>
      </c>
      <c r="K56">
        <v>293</v>
      </c>
      <c r="L56">
        <v>-103</v>
      </c>
      <c r="M56">
        <v>71</v>
      </c>
      <c r="N56">
        <v>71</v>
      </c>
      <c r="O56">
        <v>1913</v>
      </c>
      <c r="Q56" s="1">
        <f>C56/$C$434</f>
        <v>1.925498037473154E-3</v>
      </c>
      <c r="R56" s="1">
        <f t="shared" si="5"/>
        <v>1.854818312115336E-3</v>
      </c>
      <c r="S56" s="1">
        <f t="shared" si="9"/>
        <v>1.0523099901558097E-3</v>
      </c>
      <c r="T56" s="1">
        <f t="shared" si="10"/>
        <v>2.6101272939003332E-3</v>
      </c>
      <c r="U56" s="1">
        <f t="shared" si="11"/>
        <v>2.7171322337687103E-3</v>
      </c>
      <c r="V56" s="1">
        <f t="shared" si="12"/>
        <v>7.431459846684297E-3</v>
      </c>
      <c r="W56" s="1">
        <f t="shared" si="13"/>
        <v>2.3668771552689327E-2</v>
      </c>
      <c r="X56" s="1">
        <f t="shared" si="14"/>
        <v>1.4424618014745164E-3</v>
      </c>
      <c r="Y56" s="1">
        <f t="shared" si="15"/>
        <v>7.4987843267729634E-3</v>
      </c>
      <c r="Z56" s="1">
        <f t="shared" si="6"/>
        <v>-2.6136825010150224E-3</v>
      </c>
      <c r="AA56" s="1">
        <f t="shared" si="2"/>
        <v>1.7775329845029168E-3</v>
      </c>
      <c r="AB56" s="1">
        <f t="shared" si="3"/>
        <v>2.4957817772778405E-3</v>
      </c>
      <c r="AC56" s="1">
        <f t="shared" si="4"/>
        <v>5.0382941963486192E-3</v>
      </c>
      <c r="AD56" s="1" t="str">
        <f t="shared" si="7"/>
        <v>CLEAN WASH AUTO</v>
      </c>
      <c r="AE56" s="1" t="str">
        <f t="shared" si="8"/>
        <v>3413</v>
      </c>
      <c r="AF56" s="3">
        <f>Q56*Feuil2!$B$3</f>
        <v>68.114339035769817</v>
      </c>
      <c r="AG56" s="3">
        <f>R56*Feuil2!$C$3</f>
        <v>65.614049405615035</v>
      </c>
      <c r="AH56" s="3">
        <f>S56*Feuil2!$D$3</f>
        <v>41.353467531144986</v>
      </c>
      <c r="AI56" s="3">
        <f>T56*Feuil2!$E$2</f>
        <v>97.835401357266193</v>
      </c>
      <c r="AJ56" s="3">
        <f>U56*Feuil2!$F$3</f>
        <v>69.418381161216516</v>
      </c>
      <c r="AK56" s="3">
        <f>V56*Feuil2!$G$3</f>
        <v>299.39657349445991</v>
      </c>
      <c r="AL56" s="3">
        <f>W56*Feuil2!$H$3</f>
        <v>860.53688835147125</v>
      </c>
      <c r="AM56" s="3">
        <f>X56*Feuil2!$I$2</f>
        <v>30.81386900309862</v>
      </c>
      <c r="AN56" s="3">
        <f>Y56*Feuil2!$J$3</f>
        <v>316.84493435364578</v>
      </c>
      <c r="AO56" s="3">
        <f>Z56*Feuil2!$K$3</f>
        <v>-105.29930876979294</v>
      </c>
      <c r="AP56" s="3">
        <f>AA56*Feuil2!$L$3</f>
        <v>64.626619933405109</v>
      </c>
      <c r="AQ56" s="3">
        <f>AB56*Feuil2!$M$3</f>
        <v>83.383570022497196</v>
      </c>
      <c r="AR56" s="3">
        <f>AC56*Feuil2!$N$3</f>
        <v>2109.4656622736325</v>
      </c>
    </row>
    <row r="57" spans="1:44" x14ac:dyDescent="0.35">
      <c r="A57" t="s">
        <v>117</v>
      </c>
      <c r="B57" t="s">
        <v>118</v>
      </c>
      <c r="C57">
        <v>574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585</v>
      </c>
      <c r="L57">
        <v>457</v>
      </c>
      <c r="M57">
        <v>195</v>
      </c>
      <c r="N57">
        <v>195</v>
      </c>
      <c r="O57">
        <v>2006</v>
      </c>
      <c r="Q57" s="1">
        <f>C57/$C$434</f>
        <v>1.416969068602039E-2</v>
      </c>
      <c r="R57" s="1">
        <f t="shared" si="5"/>
        <v>0</v>
      </c>
      <c r="S57" s="1">
        <f t="shared" si="9"/>
        <v>0</v>
      </c>
      <c r="T57" s="1">
        <f t="shared" si="10"/>
        <v>0</v>
      </c>
      <c r="U57" s="1">
        <f t="shared" si="11"/>
        <v>0</v>
      </c>
      <c r="V57" s="1">
        <f t="shared" si="12"/>
        <v>0</v>
      </c>
      <c r="W57" s="1">
        <f t="shared" si="13"/>
        <v>0</v>
      </c>
      <c r="X57" s="1">
        <f t="shared" si="14"/>
        <v>0</v>
      </c>
      <c r="Y57" s="1">
        <f t="shared" si="15"/>
        <v>1.4971975532976736E-2</v>
      </c>
      <c r="Z57" s="1">
        <f t="shared" si="6"/>
        <v>1.1596630125862768E-2</v>
      </c>
      <c r="AA57" s="1">
        <f t="shared" si="2"/>
        <v>4.8819567884235034E-3</v>
      </c>
      <c r="AB57" s="1">
        <f t="shared" si="3"/>
        <v>6.8546119235095614E-3</v>
      </c>
      <c r="AC57" s="1">
        <f t="shared" si="4"/>
        <v>5.2832295650158548E-3</v>
      </c>
      <c r="AD57" s="1" t="str">
        <f t="shared" si="7"/>
        <v>SAINT AUBIN</v>
      </c>
      <c r="AE57" s="1" t="str">
        <f t="shared" si="8"/>
        <v>6005</v>
      </c>
      <c r="AF57" s="3">
        <f>Q57*Feuil2!$B$3</f>
        <v>501.25167444271642</v>
      </c>
      <c r="AG57" s="3">
        <f>R57*Feuil2!$C$3</f>
        <v>0</v>
      </c>
      <c r="AH57" s="3">
        <f>S57*Feuil2!$D$3</f>
        <v>0</v>
      </c>
      <c r="AI57" s="3">
        <f>T57*Feuil2!$E$2</f>
        <v>0</v>
      </c>
      <c r="AJ57" s="3">
        <f>U57*Feuil2!$F$3</f>
        <v>0</v>
      </c>
      <c r="AK57" s="3">
        <f>V57*Feuil2!$G$3</f>
        <v>0</v>
      </c>
      <c r="AL57" s="3">
        <f>W57*Feuil2!$H$3</f>
        <v>0</v>
      </c>
      <c r="AM57" s="3">
        <f>X57*Feuil2!$I$2</f>
        <v>0</v>
      </c>
      <c r="AN57" s="3">
        <f>Y57*Feuil2!$J$3</f>
        <v>632.60848667878076</v>
      </c>
      <c r="AO57" s="3">
        <f>Z57*Feuil2!$K$3</f>
        <v>467.20178745432401</v>
      </c>
      <c r="AP57" s="3">
        <f>AA57*Feuil2!$L$3</f>
        <v>177.49564629597177</v>
      </c>
      <c r="AQ57" s="3">
        <f>AB57*Feuil2!$M$3</f>
        <v>229.01121344206976</v>
      </c>
      <c r="AR57" s="3">
        <f>AC57*Feuil2!$N$3</f>
        <v>2212.0167896084195</v>
      </c>
    </row>
    <row r="58" spans="1:44" x14ac:dyDescent="0.35">
      <c r="A58" t="s">
        <v>119</v>
      </c>
      <c r="B58" t="s">
        <v>120</v>
      </c>
      <c r="C58">
        <v>265</v>
      </c>
      <c r="D58">
        <v>257</v>
      </c>
      <c r="E58">
        <v>203</v>
      </c>
      <c r="F58">
        <v>212</v>
      </c>
      <c r="G58">
        <v>57</v>
      </c>
      <c r="H58">
        <v>121</v>
      </c>
      <c r="I58">
        <v>163</v>
      </c>
      <c r="J58">
        <v>200</v>
      </c>
      <c r="K58">
        <v>144</v>
      </c>
      <c r="L58">
        <v>12</v>
      </c>
      <c r="M58">
        <v>129</v>
      </c>
      <c r="N58">
        <v>129</v>
      </c>
      <c r="O58">
        <v>1892</v>
      </c>
      <c r="Q58" s="1">
        <f>C58/$C$434</f>
        <v>6.5417561529536646E-3</v>
      </c>
      <c r="R58" s="1">
        <f t="shared" si="5"/>
        <v>1.0833825141219122E-2</v>
      </c>
      <c r="S58" s="1">
        <f t="shared" si="9"/>
        <v>6.8909331613428836E-3</v>
      </c>
      <c r="T58" s="1">
        <f t="shared" si="10"/>
        <v>8.5130305585672406E-3</v>
      </c>
      <c r="U58" s="1">
        <f t="shared" si="11"/>
        <v>2.7171322337687103E-3</v>
      </c>
      <c r="V58" s="1">
        <f t="shared" si="12"/>
        <v>4.050480366886486E-3</v>
      </c>
      <c r="W58" s="1">
        <f t="shared" si="13"/>
        <v>3.6499619329123561E-3</v>
      </c>
      <c r="X58" s="1">
        <f t="shared" si="14"/>
        <v>1.0684902233144567E-2</v>
      </c>
      <c r="Y58" s="1">
        <f t="shared" si="15"/>
        <v>3.685409361963504E-3</v>
      </c>
      <c r="Z58" s="1">
        <f t="shared" si="6"/>
        <v>3.0450669914738123E-4</v>
      </c>
      <c r="AA58" s="1">
        <f t="shared" si="2"/>
        <v>3.2296021831109329E-3</v>
      </c>
      <c r="AB58" s="1">
        <f t="shared" si="3"/>
        <v>4.53458942632171E-3</v>
      </c>
      <c r="AC58" s="1">
        <f t="shared" si="4"/>
        <v>4.9829862098753723E-3</v>
      </c>
      <c r="AD58" s="1" t="str">
        <f t="shared" si="7"/>
        <v>ADC AUTOMOBILE</v>
      </c>
      <c r="AE58" s="1" t="str">
        <f t="shared" si="8"/>
        <v>5815</v>
      </c>
      <c r="AF58" s="3">
        <f>Q58*Feuil2!$B$3</f>
        <v>231.41410057024365</v>
      </c>
      <c r="AG58" s="3">
        <f>R58*Feuil2!$C$3</f>
        <v>383.24569766461508</v>
      </c>
      <c r="AH58" s="3">
        <f>S58*Feuil2!$D$3</f>
        <v>270.79851318782039</v>
      </c>
      <c r="AI58" s="3">
        <f>T58*Feuil2!$E$2</f>
        <v>319.09392442677586</v>
      </c>
      <c r="AJ58" s="3">
        <f>U58*Feuil2!$F$3</f>
        <v>69.418381161216516</v>
      </c>
      <c r="AK58" s="3">
        <f>V58*Feuil2!$G$3</f>
        <v>163.18461888662003</v>
      </c>
      <c r="AL58" s="3">
        <f>W58*Feuil2!$H$3</f>
        <v>132.70341797662235</v>
      </c>
      <c r="AM58" s="3">
        <f>X58*Feuil2!$I$2</f>
        <v>228.25088150443426</v>
      </c>
      <c r="AN58" s="3">
        <f>Y58*Feuil2!$J$3</f>
        <v>155.71901210554603</v>
      </c>
      <c r="AO58" s="3">
        <f>Z58*Feuil2!$K$3</f>
        <v>12.267880633373935</v>
      </c>
      <c r="AP58" s="3">
        <f>AA58*Feuil2!$L$3</f>
        <v>117.4201967804121</v>
      </c>
      <c r="AQ58" s="3">
        <f>AB58*Feuil2!$M$3</f>
        <v>151.49972581552308</v>
      </c>
      <c r="AR58" s="3">
        <f>AC58*Feuil2!$N$3</f>
        <v>2086.3089561012612</v>
      </c>
    </row>
    <row r="59" spans="1:44" x14ac:dyDescent="0.35">
      <c r="A59" t="s">
        <v>121</v>
      </c>
      <c r="B59" t="s">
        <v>122</v>
      </c>
      <c r="C59">
        <v>215</v>
      </c>
      <c r="D59">
        <v>94</v>
      </c>
      <c r="E59">
        <v>0</v>
      </c>
      <c r="F59">
        <v>0</v>
      </c>
      <c r="G59">
        <v>175</v>
      </c>
      <c r="H59">
        <v>29</v>
      </c>
      <c r="I59">
        <v>879</v>
      </c>
      <c r="J59">
        <v>0</v>
      </c>
      <c r="K59">
        <v>20</v>
      </c>
      <c r="L59">
        <v>238</v>
      </c>
      <c r="M59">
        <v>107</v>
      </c>
      <c r="N59">
        <v>107</v>
      </c>
      <c r="O59">
        <v>1864</v>
      </c>
      <c r="Q59" s="1">
        <f>C59/$C$434</f>
        <v>5.3074625391888218E-3</v>
      </c>
      <c r="R59" s="1">
        <f t="shared" si="5"/>
        <v>3.9625663940645811E-3</v>
      </c>
      <c r="S59" s="1">
        <f t="shared" si="9"/>
        <v>0</v>
      </c>
      <c r="T59" s="1">
        <f t="shared" si="10"/>
        <v>0</v>
      </c>
      <c r="U59" s="1">
        <f t="shared" si="11"/>
        <v>8.3420726475355138E-3</v>
      </c>
      <c r="V59" s="1">
        <f t="shared" si="12"/>
        <v>9.7077628627857931E-4</v>
      </c>
      <c r="W59" s="1">
        <f t="shared" si="13"/>
        <v>1.968292355233105E-2</v>
      </c>
      <c r="X59" s="1">
        <f t="shared" si="14"/>
        <v>0</v>
      </c>
      <c r="Y59" s="1">
        <f t="shared" si="15"/>
        <v>5.1186241138381999E-4</v>
      </c>
      <c r="Z59" s="1">
        <f t="shared" si="6"/>
        <v>6.0393828664230612E-3</v>
      </c>
      <c r="AA59" s="1">
        <f t="shared" si="2"/>
        <v>2.6788173146734097E-3</v>
      </c>
      <c r="AB59" s="1">
        <f t="shared" si="3"/>
        <v>3.7612485939257593E-3</v>
      </c>
      <c r="AC59" s="1">
        <f t="shared" si="4"/>
        <v>4.9092422279110436E-3</v>
      </c>
      <c r="AD59" s="1" t="str">
        <f t="shared" si="7"/>
        <v>LEPY</v>
      </c>
      <c r="AE59" s="1" t="str">
        <f t="shared" si="8"/>
        <v>3621</v>
      </c>
      <c r="AF59" s="3">
        <f>Q59*Feuil2!$B$3</f>
        <v>187.75106272680142</v>
      </c>
      <c r="AG59" s="3">
        <f>R59*Feuil2!$C$3</f>
        <v>140.17546918472303</v>
      </c>
      <c r="AH59" s="3">
        <f>S59*Feuil2!$D$3</f>
        <v>0</v>
      </c>
      <c r="AI59" s="3">
        <f>T59*Feuil2!$E$2</f>
        <v>0</v>
      </c>
      <c r="AJ59" s="3">
        <f>U59*Feuil2!$F$3</f>
        <v>213.12660882829633</v>
      </c>
      <c r="AK59" s="3">
        <f>V59*Feuil2!$G$3</f>
        <v>39.110363204231248</v>
      </c>
      <c r="AL59" s="3">
        <f>W59*Feuil2!$H$3</f>
        <v>715.62149939540518</v>
      </c>
      <c r="AM59" s="3">
        <f>X59*Feuil2!$I$2</f>
        <v>0</v>
      </c>
      <c r="AN59" s="3">
        <f>Y59*Feuil2!$J$3</f>
        <v>21.627640570214727</v>
      </c>
      <c r="AO59" s="3">
        <f>Z59*Feuil2!$K$3</f>
        <v>243.3129658952497</v>
      </c>
      <c r="AP59" s="3">
        <f>AA59*Feuil2!$L$3</f>
        <v>97.395046941892204</v>
      </c>
      <c r="AQ59" s="3">
        <f>AB59*Feuil2!$M$3</f>
        <v>125.66256327334084</v>
      </c>
      <c r="AR59" s="3">
        <f>AC59*Feuil2!$N$3</f>
        <v>2055.4333478714329</v>
      </c>
    </row>
    <row r="60" spans="1:44" x14ac:dyDescent="0.35">
      <c r="A60" t="s">
        <v>123</v>
      </c>
      <c r="B60" t="s">
        <v>124</v>
      </c>
      <c r="C60">
        <v>31</v>
      </c>
      <c r="D60">
        <v>365</v>
      </c>
      <c r="E60">
        <v>138</v>
      </c>
      <c r="F60">
        <v>0</v>
      </c>
      <c r="G60">
        <v>159</v>
      </c>
      <c r="H60">
        <v>229</v>
      </c>
      <c r="I60">
        <v>166</v>
      </c>
      <c r="J60">
        <v>176</v>
      </c>
      <c r="K60">
        <v>0</v>
      </c>
      <c r="L60">
        <v>229</v>
      </c>
      <c r="M60">
        <v>249</v>
      </c>
      <c r="N60">
        <v>249</v>
      </c>
      <c r="O60">
        <v>1991</v>
      </c>
      <c r="Q60" s="1">
        <f>C60/$C$434</f>
        <v>7.6526204053420225E-4</v>
      </c>
      <c r="R60" s="1">
        <f t="shared" si="5"/>
        <v>1.5386560998229491E-2</v>
      </c>
      <c r="S60" s="1">
        <f t="shared" si="9"/>
        <v>4.684476730371024E-3</v>
      </c>
      <c r="T60" s="1">
        <f t="shared" si="10"/>
        <v>0</v>
      </c>
      <c r="U60" s="1">
        <f t="shared" si="11"/>
        <v>7.5793688626179809E-3</v>
      </c>
      <c r="V60" s="1">
        <f t="shared" si="12"/>
        <v>7.6657851571653333E-3</v>
      </c>
      <c r="W60" s="1">
        <f t="shared" si="13"/>
        <v>3.7171391464015406E-3</v>
      </c>
      <c r="X60" s="1">
        <f t="shared" si="14"/>
        <v>9.4027139651672188E-3</v>
      </c>
      <c r="Y60" s="1">
        <f t="shared" si="15"/>
        <v>0</v>
      </c>
      <c r="Z60" s="1">
        <f t="shared" si="6"/>
        <v>5.8110028420625256E-3</v>
      </c>
      <c r="AA60" s="1">
        <f t="shared" si="2"/>
        <v>6.2338832836792432E-3</v>
      </c>
      <c r="AB60" s="1">
        <f t="shared" si="3"/>
        <v>8.7528121484814394E-3</v>
      </c>
      <c r="AC60" s="1">
        <f t="shared" si="4"/>
        <v>5.243723860392107E-3</v>
      </c>
      <c r="AD60" s="1" t="str">
        <f t="shared" si="7"/>
        <v>CHRETIEN SARL</v>
      </c>
      <c r="AE60" s="1" t="str">
        <f t="shared" si="8"/>
        <v>5216</v>
      </c>
      <c r="AF60" s="3">
        <f>Q60*Feuil2!$B$3</f>
        <v>27.071083462934162</v>
      </c>
      <c r="AG60" s="3">
        <f>R60*Feuil2!$C$3</f>
        <v>544.29836438748839</v>
      </c>
      <c r="AH60" s="3">
        <f>S60*Feuil2!$D$3</f>
        <v>184.08962965477443</v>
      </c>
      <c r="AI60" s="3">
        <f>T60*Feuil2!$E$2</f>
        <v>0</v>
      </c>
      <c r="AJ60" s="3">
        <f>U60*Feuil2!$F$3</f>
        <v>193.64074744970924</v>
      </c>
      <c r="AK60" s="3">
        <f>V60*Feuil2!$G$3</f>
        <v>308.83700599203297</v>
      </c>
      <c r="AL60" s="3">
        <f>W60*Feuil2!$H$3</f>
        <v>135.14581217251109</v>
      </c>
      <c r="AM60" s="3">
        <f>X60*Feuil2!$I$2</f>
        <v>200.86077572390212</v>
      </c>
      <c r="AN60" s="3">
        <f>Y60*Feuil2!$J$3</f>
        <v>0</v>
      </c>
      <c r="AO60" s="3">
        <f>Z60*Feuil2!$K$3</f>
        <v>234.11205542021926</v>
      </c>
      <c r="AP60" s="3">
        <f>AA60*Feuil2!$L$3</f>
        <v>226.64828680870244</v>
      </c>
      <c r="AQ60" s="3">
        <f>AB60*Feuil2!$M$3</f>
        <v>292.42970331833521</v>
      </c>
      <c r="AR60" s="3">
        <f>AC60*Feuil2!$N$3</f>
        <v>2195.4762851995829</v>
      </c>
    </row>
    <row r="61" spans="1:44" x14ac:dyDescent="0.35">
      <c r="A61" t="s">
        <v>125</v>
      </c>
      <c r="B61" t="s">
        <v>126</v>
      </c>
      <c r="C61">
        <v>288</v>
      </c>
      <c r="D61">
        <v>0</v>
      </c>
      <c r="E61">
        <v>173</v>
      </c>
      <c r="F61">
        <v>32</v>
      </c>
      <c r="G61">
        <v>0</v>
      </c>
      <c r="H61">
        <v>283</v>
      </c>
      <c r="I61">
        <v>0</v>
      </c>
      <c r="J61">
        <v>456</v>
      </c>
      <c r="K61">
        <v>46</v>
      </c>
      <c r="L61">
        <v>416</v>
      </c>
      <c r="M61">
        <v>0</v>
      </c>
      <c r="N61">
        <v>0</v>
      </c>
      <c r="O61">
        <v>1694</v>
      </c>
      <c r="Q61" s="1">
        <f>C61/$C$434</f>
        <v>7.1095312152854922E-3</v>
      </c>
      <c r="R61" s="1">
        <f t="shared" si="5"/>
        <v>0</v>
      </c>
      <c r="S61" s="1">
        <f t="shared" si="9"/>
        <v>5.8725686547404865E-3</v>
      </c>
      <c r="T61" s="1">
        <f t="shared" si="10"/>
        <v>1.2849857446893948E-3</v>
      </c>
      <c r="U61" s="1">
        <f t="shared" si="11"/>
        <v>0</v>
      </c>
      <c r="V61" s="1">
        <f t="shared" si="12"/>
        <v>9.473437552304757E-3</v>
      </c>
      <c r="W61" s="1">
        <f t="shared" si="13"/>
        <v>0</v>
      </c>
      <c r="X61" s="1">
        <f t="shared" si="14"/>
        <v>2.4361577091569612E-2</v>
      </c>
      <c r="Y61" s="1">
        <f t="shared" si="15"/>
        <v>1.1772835461827862E-3</v>
      </c>
      <c r="Z61" s="1">
        <f t="shared" si="6"/>
        <v>1.0556232237109216E-2</v>
      </c>
      <c r="AA61" s="1">
        <f t="shared" si="2"/>
        <v>0</v>
      </c>
      <c r="AB61" s="1">
        <f t="shared" si="3"/>
        <v>0</v>
      </c>
      <c r="AC61" s="1">
        <f t="shared" si="4"/>
        <v>4.4615109088419038E-3</v>
      </c>
      <c r="AD61" s="1" t="str">
        <f t="shared" si="7"/>
        <v>SARL GTA LISIEUX</v>
      </c>
      <c r="AE61" s="1" t="str">
        <f t="shared" si="8"/>
        <v>5810</v>
      </c>
      <c r="AF61" s="3">
        <f>Q61*Feuil2!$B$3</f>
        <v>251.49909797822704</v>
      </c>
      <c r="AG61" s="3">
        <f>R61*Feuil2!$C$3</f>
        <v>0</v>
      </c>
      <c r="AH61" s="3">
        <f>S61*Feuil2!$D$3</f>
        <v>230.77902848026071</v>
      </c>
      <c r="AI61" s="3">
        <f>T61*Feuil2!$E$2</f>
        <v>48.165120668192586</v>
      </c>
      <c r="AJ61" s="3">
        <f>U61*Feuil2!$F$3</f>
        <v>0</v>
      </c>
      <c r="AK61" s="3">
        <f>V61*Feuil2!$G$3</f>
        <v>381.66319954473943</v>
      </c>
      <c r="AL61" s="3">
        <f>W61*Feuil2!$H$3</f>
        <v>0</v>
      </c>
      <c r="AM61" s="3">
        <f>X61*Feuil2!$I$2</f>
        <v>520.41200983011004</v>
      </c>
      <c r="AN61" s="3">
        <f>Y61*Feuil2!$J$3</f>
        <v>49.743573311493883</v>
      </c>
      <c r="AO61" s="3">
        <f>Z61*Feuil2!$K$3</f>
        <v>425.28652862362975</v>
      </c>
      <c r="AP61" s="3">
        <f>AA61*Feuil2!$L$3</f>
        <v>0</v>
      </c>
      <c r="AQ61" s="3">
        <f>AB61*Feuil2!$M$3</f>
        <v>0</v>
      </c>
      <c r="AR61" s="3">
        <f>AC61*Feuil2!$N$3</f>
        <v>1867.9742979046177</v>
      </c>
    </row>
    <row r="62" spans="1:44" x14ac:dyDescent="0.35">
      <c r="A62" t="s">
        <v>127</v>
      </c>
      <c r="B62" t="s">
        <v>128</v>
      </c>
      <c r="C62">
        <v>306</v>
      </c>
      <c r="D62">
        <v>124</v>
      </c>
      <c r="E62">
        <v>56</v>
      </c>
      <c r="F62">
        <v>125</v>
      </c>
      <c r="G62">
        <v>29</v>
      </c>
      <c r="H62">
        <v>25</v>
      </c>
      <c r="I62">
        <v>272</v>
      </c>
      <c r="J62">
        <v>56</v>
      </c>
      <c r="K62">
        <v>260</v>
      </c>
      <c r="L62">
        <v>162</v>
      </c>
      <c r="M62">
        <v>268</v>
      </c>
      <c r="N62">
        <v>268</v>
      </c>
      <c r="O62">
        <v>1951</v>
      </c>
      <c r="Q62" s="1">
        <f>C62/$C$434</f>
        <v>7.5538769162408351E-3</v>
      </c>
      <c r="R62" s="1">
        <f t="shared" si="5"/>
        <v>5.2272152432341285E-3</v>
      </c>
      <c r="S62" s="1">
        <f t="shared" si="9"/>
        <v>1.9009470789911403E-3</v>
      </c>
      <c r="T62" s="1">
        <f t="shared" si="10"/>
        <v>5.0194755651929487E-3</v>
      </c>
      <c r="U62" s="1">
        <f t="shared" si="11"/>
        <v>1.382400610163028E-3</v>
      </c>
      <c r="V62" s="1">
        <f t="shared" si="12"/>
        <v>8.3687610886084424E-4</v>
      </c>
      <c r="W62" s="1">
        <f t="shared" si="13"/>
        <v>6.0907340230193915E-3</v>
      </c>
      <c r="X62" s="1">
        <f t="shared" si="14"/>
        <v>2.9917726252804786E-3</v>
      </c>
      <c r="Y62" s="1">
        <f t="shared" si="15"/>
        <v>6.6542113479896607E-3</v>
      </c>
      <c r="Z62" s="1">
        <f t="shared" si="6"/>
        <v>4.1108404384896467E-3</v>
      </c>
      <c r="AA62" s="1">
        <f t="shared" si="2"/>
        <v>6.7095611246025585E-3</v>
      </c>
      <c r="AB62" s="1">
        <f t="shared" si="3"/>
        <v>9.4206974128233974E-3</v>
      </c>
      <c r="AC62" s="1">
        <f t="shared" si="4"/>
        <v>5.1383753147287801E-3</v>
      </c>
      <c r="AD62" s="1" t="str">
        <f t="shared" si="7"/>
        <v>LMS</v>
      </c>
      <c r="AE62" s="1" t="str">
        <f t="shared" si="8"/>
        <v>5137</v>
      </c>
      <c r="AF62" s="3">
        <f>Q62*Feuil2!$B$3</f>
        <v>267.21779160186622</v>
      </c>
      <c r="AG62" s="3">
        <f>R62*Feuil2!$C$3</f>
        <v>184.91232105218782</v>
      </c>
      <c r="AH62" s="3">
        <f>S62*Feuil2!$D$3</f>
        <v>74.703038120778032</v>
      </c>
      <c r="AI62" s="3">
        <f>T62*Feuil2!$E$2</f>
        <v>188.14500261012731</v>
      </c>
      <c r="AJ62" s="3">
        <f>U62*Feuil2!$F$3</f>
        <v>35.318123748689104</v>
      </c>
      <c r="AK62" s="3">
        <f>V62*Feuil2!$G$3</f>
        <v>33.715830348475215</v>
      </c>
      <c r="AL62" s="3">
        <f>W62*Feuil2!$H$3</f>
        <v>221.44374042724709</v>
      </c>
      <c r="AM62" s="3">
        <f>X62*Feuil2!$I$2</f>
        <v>63.910246821241586</v>
      </c>
      <c r="AN62" s="3">
        <f>Y62*Feuil2!$J$3</f>
        <v>281.15932741279147</v>
      </c>
      <c r="AO62" s="3">
        <f>Z62*Feuil2!$K$3</f>
        <v>165.61638855054812</v>
      </c>
      <c r="AP62" s="3">
        <f>AA62*Feuil2!$L$3</f>
        <v>243.94273439651505</v>
      </c>
      <c r="AQ62" s="3">
        <f>AB62*Feuil2!$M$3</f>
        <v>314.74361642294718</v>
      </c>
      <c r="AR62" s="3">
        <f>AC62*Feuil2!$N$3</f>
        <v>2151.3682734426852</v>
      </c>
    </row>
    <row r="63" spans="1:44" x14ac:dyDescent="0.35">
      <c r="A63" t="s">
        <v>129</v>
      </c>
      <c r="B63" t="s">
        <v>130</v>
      </c>
      <c r="C63">
        <v>0</v>
      </c>
      <c r="D63">
        <v>20</v>
      </c>
      <c r="E63">
        <v>33</v>
      </c>
      <c r="F63">
        <v>71</v>
      </c>
      <c r="G63">
        <v>28</v>
      </c>
      <c r="H63">
        <v>0</v>
      </c>
      <c r="I63">
        <v>94</v>
      </c>
      <c r="J63">
        <v>0</v>
      </c>
      <c r="K63">
        <v>1219</v>
      </c>
      <c r="L63">
        <v>117</v>
      </c>
      <c r="M63">
        <v>73</v>
      </c>
      <c r="N63">
        <v>73</v>
      </c>
      <c r="O63">
        <v>1728</v>
      </c>
      <c r="Q63" s="1">
        <f>C63/$C$434</f>
        <v>0</v>
      </c>
      <c r="R63" s="1">
        <f t="shared" si="5"/>
        <v>8.4309923277969812E-4</v>
      </c>
      <c r="S63" s="1">
        <f t="shared" si="9"/>
        <v>1.1202009572626361E-3</v>
      </c>
      <c r="T63" s="1">
        <f t="shared" si="10"/>
        <v>2.8510621210295949E-3</v>
      </c>
      <c r="U63" s="1">
        <f t="shared" si="11"/>
        <v>1.3347316236056821E-3</v>
      </c>
      <c r="V63" s="1">
        <f t="shared" si="12"/>
        <v>0</v>
      </c>
      <c r="W63" s="1">
        <f t="shared" si="13"/>
        <v>2.1048860226611133E-3</v>
      </c>
      <c r="X63" s="1">
        <f t="shared" si="14"/>
        <v>0</v>
      </c>
      <c r="Y63" s="1">
        <f t="shared" si="15"/>
        <v>3.1198013973843832E-2</v>
      </c>
      <c r="Z63" s="1">
        <f t="shared" si="6"/>
        <v>2.9689403166869672E-3</v>
      </c>
      <c r="AA63" s="1">
        <f t="shared" si="2"/>
        <v>1.8276043361790551E-3</v>
      </c>
      <c r="AB63" s="1">
        <f t="shared" si="3"/>
        <v>2.5660854893138356E-3</v>
      </c>
      <c r="AC63" s="1">
        <f t="shared" si="4"/>
        <v>4.5510571726557316E-3</v>
      </c>
      <c r="AD63" s="1" t="str">
        <f t="shared" si="7"/>
        <v>DAC LISIEUX</v>
      </c>
      <c r="AE63" s="1" t="str">
        <f t="shared" si="8"/>
        <v>1013</v>
      </c>
      <c r="AF63" s="3">
        <f>Q63*Feuil2!$B$3</f>
        <v>0</v>
      </c>
      <c r="AG63" s="3">
        <f>R63*Feuil2!$C$3</f>
        <v>29.824567911643197</v>
      </c>
      <c r="AH63" s="3">
        <f>S63*Feuil2!$D$3</f>
        <v>44.021433178315625</v>
      </c>
      <c r="AI63" s="3">
        <f>T63*Feuil2!$E$2</f>
        <v>106.86636148255231</v>
      </c>
      <c r="AJ63" s="3">
        <f>U63*Feuil2!$F$3</f>
        <v>34.100257412527412</v>
      </c>
      <c r="AK63" s="3">
        <f>V63*Feuil2!$G$3</f>
        <v>0</v>
      </c>
      <c r="AL63" s="3">
        <f>W63*Feuil2!$H$3</f>
        <v>76.528351471180983</v>
      </c>
      <c r="AM63" s="3">
        <f>X63*Feuil2!$I$2</f>
        <v>0</v>
      </c>
      <c r="AN63" s="3">
        <f>Y63*Feuil2!$J$3</f>
        <v>1318.2046927545878</v>
      </c>
      <c r="AO63" s="3">
        <f>Z63*Feuil2!$K$3</f>
        <v>119.61183617539587</v>
      </c>
      <c r="AP63" s="3">
        <f>AA63*Feuil2!$L$3</f>
        <v>66.447088100543283</v>
      </c>
      <c r="AQ63" s="3">
        <f>AB63*Feuil2!$M$3</f>
        <v>85.732402980877396</v>
      </c>
      <c r="AR63" s="3">
        <f>AC63*Feuil2!$N$3</f>
        <v>1905.4661078979807</v>
      </c>
    </row>
    <row r="64" spans="1:44" x14ac:dyDescent="0.35">
      <c r="A64" t="s">
        <v>131</v>
      </c>
      <c r="B64" t="s">
        <v>132</v>
      </c>
      <c r="C64">
        <v>298</v>
      </c>
      <c r="D64">
        <v>73</v>
      </c>
      <c r="E64">
        <v>153</v>
      </c>
      <c r="F64">
        <v>183</v>
      </c>
      <c r="G64">
        <v>166</v>
      </c>
      <c r="H64">
        <v>226</v>
      </c>
      <c r="I64">
        <v>240</v>
      </c>
      <c r="J64">
        <v>-22</v>
      </c>
      <c r="K64">
        <v>148</v>
      </c>
      <c r="L64">
        <v>111</v>
      </c>
      <c r="M64">
        <v>77</v>
      </c>
      <c r="N64">
        <v>77</v>
      </c>
      <c r="O64">
        <v>1730</v>
      </c>
      <c r="Q64" s="1">
        <f>C64/$C$434</f>
        <v>7.3563899380384608E-3</v>
      </c>
      <c r="R64" s="1">
        <f t="shared" si="5"/>
        <v>3.0773121996458984E-3</v>
      </c>
      <c r="S64" s="1">
        <f t="shared" si="9"/>
        <v>5.1936589836722221E-3</v>
      </c>
      <c r="T64" s="1">
        <f t="shared" si="10"/>
        <v>7.3485122274424769E-3</v>
      </c>
      <c r="U64" s="1">
        <f t="shared" si="11"/>
        <v>7.9130517685194017E-3</v>
      </c>
      <c r="V64" s="1">
        <f t="shared" si="12"/>
        <v>7.5653600241020321E-3</v>
      </c>
      <c r="W64" s="1">
        <f t="shared" si="13"/>
        <v>5.3741770791347577E-3</v>
      </c>
      <c r="X64" s="1">
        <f t="shared" si="14"/>
        <v>-1.1753392456459023E-3</v>
      </c>
      <c r="Y64" s="1">
        <f t="shared" si="15"/>
        <v>3.787781844240268E-3</v>
      </c>
      <c r="Z64" s="1">
        <f t="shared" si="6"/>
        <v>2.8166869671132763E-3</v>
      </c>
      <c r="AA64" s="1">
        <f t="shared" si="2"/>
        <v>1.9277470395313323E-3</v>
      </c>
      <c r="AB64" s="1">
        <f t="shared" si="3"/>
        <v>2.7066929133858267E-3</v>
      </c>
      <c r="AC64" s="1">
        <f t="shared" si="4"/>
        <v>4.5563245999388977E-3</v>
      </c>
      <c r="AD64" s="1" t="str">
        <f t="shared" si="7"/>
        <v>GT CARROSSERIE</v>
      </c>
      <c r="AE64" s="1" t="str">
        <f t="shared" si="8"/>
        <v>5813</v>
      </c>
      <c r="AF64" s="3">
        <f>Q64*Feuil2!$B$3</f>
        <v>260.23170554691552</v>
      </c>
      <c r="AG64" s="3">
        <f>R64*Feuil2!$C$3</f>
        <v>108.85967287749767</v>
      </c>
      <c r="AH64" s="3">
        <f>S64*Feuil2!$D$3</f>
        <v>204.09937200855427</v>
      </c>
      <c r="AI64" s="3">
        <f>T64*Feuil2!$E$2</f>
        <v>275.44428382122635</v>
      </c>
      <c r="AJ64" s="3">
        <f>U64*Feuil2!$F$3</f>
        <v>202.16581180284109</v>
      </c>
      <c r="AK64" s="3">
        <f>V64*Feuil2!$G$3</f>
        <v>304.79110635021595</v>
      </c>
      <c r="AL64" s="3">
        <f>W64*Feuil2!$H$3</f>
        <v>195.3915356711004</v>
      </c>
      <c r="AM64" s="3">
        <f>X64*Feuil2!$I$2</f>
        <v>-25.107596965487765</v>
      </c>
      <c r="AN64" s="3">
        <f>Y64*Feuil2!$J$3</f>
        <v>160.04454021958898</v>
      </c>
      <c r="AO64" s="3">
        <f>Z64*Feuil2!$K$3</f>
        <v>113.47789585870889</v>
      </c>
      <c r="AP64" s="3">
        <f>AA64*Feuil2!$L$3</f>
        <v>70.08802443481963</v>
      </c>
      <c r="AQ64" s="3">
        <f>AB64*Feuil2!$M$3</f>
        <v>90.430068897637796</v>
      </c>
      <c r="AR64" s="3">
        <f>AC64*Feuil2!$N$3</f>
        <v>1907.6715084858254</v>
      </c>
    </row>
    <row r="65" spans="1:44" x14ac:dyDescent="0.35">
      <c r="A65" t="s">
        <v>133</v>
      </c>
      <c r="B65" t="s">
        <v>134</v>
      </c>
      <c r="C65">
        <v>189</v>
      </c>
      <c r="D65">
        <v>0</v>
      </c>
      <c r="E65">
        <v>327</v>
      </c>
      <c r="F65">
        <v>122</v>
      </c>
      <c r="G65">
        <v>344</v>
      </c>
      <c r="H65">
        <v>0</v>
      </c>
      <c r="I65">
        <v>371</v>
      </c>
      <c r="J65">
        <v>18</v>
      </c>
      <c r="K65">
        <v>145</v>
      </c>
      <c r="L65">
        <v>0</v>
      </c>
      <c r="M65">
        <v>22</v>
      </c>
      <c r="N65">
        <v>22</v>
      </c>
      <c r="O65">
        <v>1560</v>
      </c>
      <c r="Q65" s="1">
        <f>C65/$C$434</f>
        <v>4.6656298600311046E-3</v>
      </c>
      <c r="R65" s="1">
        <f t="shared" si="5"/>
        <v>0</v>
      </c>
      <c r="S65" s="1">
        <f t="shared" si="9"/>
        <v>1.1100173121966123E-2</v>
      </c>
      <c r="T65" s="1">
        <f t="shared" si="10"/>
        <v>4.8990081516283182E-3</v>
      </c>
      <c r="U65" s="1">
        <f t="shared" si="11"/>
        <v>1.6398131375726953E-2</v>
      </c>
      <c r="V65" s="1">
        <f t="shared" si="12"/>
        <v>0</v>
      </c>
      <c r="W65" s="1">
        <f t="shared" si="13"/>
        <v>8.30758206816248E-3</v>
      </c>
      <c r="X65" s="1">
        <f t="shared" si="14"/>
        <v>9.61641200983011E-4</v>
      </c>
      <c r="Y65" s="1">
        <f t="shared" si="15"/>
        <v>3.7110024825326954E-3</v>
      </c>
      <c r="Z65" s="1">
        <f t="shared" si="6"/>
        <v>0</v>
      </c>
      <c r="AA65" s="1">
        <f t="shared" si="2"/>
        <v>5.5078486843752352E-4</v>
      </c>
      <c r="AB65" s="1">
        <f t="shared" si="3"/>
        <v>7.7334083239595053E-4</v>
      </c>
      <c r="AC65" s="1">
        <f t="shared" si="4"/>
        <v>4.1085932808697578E-3</v>
      </c>
      <c r="AD65" s="1" t="str">
        <f t="shared" si="7"/>
        <v>CARROSSERIE DU ROUMOIS</v>
      </c>
      <c r="AE65" s="1" t="str">
        <f t="shared" si="8"/>
        <v>46863</v>
      </c>
      <c r="AF65" s="3">
        <f>Q65*Feuil2!$B$3</f>
        <v>165.04628304821151</v>
      </c>
      <c r="AG65" s="3">
        <f>R65*Feuil2!$C$3</f>
        <v>0</v>
      </c>
      <c r="AH65" s="3">
        <f>S65*Feuil2!$D$3</f>
        <v>436.21238331240033</v>
      </c>
      <c r="AI65" s="3">
        <f>T65*Feuil2!$E$2</f>
        <v>183.62952254748424</v>
      </c>
      <c r="AJ65" s="3">
        <f>U65*Feuil2!$F$3</f>
        <v>418.94601963962253</v>
      </c>
      <c r="AK65" s="3">
        <f>V65*Feuil2!$G$3</f>
        <v>0</v>
      </c>
      <c r="AL65" s="3">
        <f>W65*Feuil2!$H$3</f>
        <v>302.04274889157603</v>
      </c>
      <c r="AM65" s="3">
        <f>X65*Feuil2!$I$2</f>
        <v>20.542579335399083</v>
      </c>
      <c r="AN65" s="3">
        <f>Y65*Feuil2!$J$3</f>
        <v>156.80039413405677</v>
      </c>
      <c r="AO65" s="3">
        <f>Z65*Feuil2!$K$3</f>
        <v>0</v>
      </c>
      <c r="AP65" s="3">
        <f>AA65*Feuil2!$L$3</f>
        <v>20.025149838519894</v>
      </c>
      <c r="AQ65" s="3">
        <f>AB65*Feuil2!$M$3</f>
        <v>25.837162542182231</v>
      </c>
      <c r="AR65" s="3">
        <f>AC65*Feuil2!$N$3</f>
        <v>1720.2124585190104</v>
      </c>
    </row>
    <row r="66" spans="1:44" x14ac:dyDescent="0.35">
      <c r="A66" t="s">
        <v>135</v>
      </c>
      <c r="B66" t="s">
        <v>136</v>
      </c>
      <c r="C66">
        <v>307</v>
      </c>
      <c r="D66">
        <v>0</v>
      </c>
      <c r="E66">
        <v>285</v>
      </c>
      <c r="F66">
        <v>0</v>
      </c>
      <c r="G66">
        <v>315</v>
      </c>
      <c r="H66">
        <v>192</v>
      </c>
      <c r="I66">
        <v>135</v>
      </c>
      <c r="J66">
        <v>0</v>
      </c>
      <c r="K66">
        <v>0</v>
      </c>
      <c r="L66">
        <v>272</v>
      </c>
      <c r="M66">
        <v>0</v>
      </c>
      <c r="N66">
        <v>0</v>
      </c>
      <c r="O66">
        <v>1506</v>
      </c>
      <c r="Q66" s="1">
        <f>C66/$C$434</f>
        <v>7.5785627885161322E-3</v>
      </c>
      <c r="R66" s="1">
        <f t="shared" si="5"/>
        <v>0</v>
      </c>
      <c r="S66" s="1">
        <f t="shared" si="9"/>
        <v>9.6744628127227675E-3</v>
      </c>
      <c r="T66" s="1">
        <f t="shared" si="10"/>
        <v>0</v>
      </c>
      <c r="U66" s="1">
        <f t="shared" si="11"/>
        <v>1.5015730765563924E-2</v>
      </c>
      <c r="V66" s="1">
        <f t="shared" si="12"/>
        <v>6.4272085160512835E-3</v>
      </c>
      <c r="W66" s="1">
        <f t="shared" si="13"/>
        <v>3.0229746070133011E-3</v>
      </c>
      <c r="X66" s="1">
        <f t="shared" si="14"/>
        <v>0</v>
      </c>
      <c r="Y66" s="1">
        <f t="shared" si="15"/>
        <v>0</v>
      </c>
      <c r="Z66" s="1">
        <f t="shared" si="6"/>
        <v>6.9021518473406417E-3</v>
      </c>
      <c r="AA66" s="1">
        <f t="shared" si="2"/>
        <v>0</v>
      </c>
      <c r="AB66" s="1">
        <f t="shared" si="3"/>
        <v>0</v>
      </c>
      <c r="AC66" s="1">
        <f t="shared" si="4"/>
        <v>3.9663727442242657E-3</v>
      </c>
      <c r="AD66" s="1" t="str">
        <f t="shared" si="7"/>
        <v>SDIS 14</v>
      </c>
      <c r="AE66" s="1" t="str">
        <f t="shared" si="8"/>
        <v>3926</v>
      </c>
      <c r="AF66" s="3">
        <f>Q66*Feuil2!$B$3</f>
        <v>268.09105235873506</v>
      </c>
      <c r="AG66" s="3">
        <f>R66*Feuil2!$C$3</f>
        <v>0</v>
      </c>
      <c r="AH66" s="3">
        <f>S66*Feuil2!$D$3</f>
        <v>380.1851047218168</v>
      </c>
      <c r="AI66" s="3">
        <f>T66*Feuil2!$E$2</f>
        <v>0</v>
      </c>
      <c r="AJ66" s="3">
        <f>U66*Feuil2!$F$3</f>
        <v>383.62789589093342</v>
      </c>
      <c r="AK66" s="3">
        <f>V66*Feuil2!$G$3</f>
        <v>258.93757707628964</v>
      </c>
      <c r="AL66" s="3">
        <f>W66*Feuil2!$H$3</f>
        <v>109.90773881499396</v>
      </c>
      <c r="AM66" s="3">
        <f>X66*Feuil2!$I$2</f>
        <v>0</v>
      </c>
      <c r="AN66" s="3">
        <f>Y66*Feuil2!$J$3</f>
        <v>0</v>
      </c>
      <c r="AO66" s="3">
        <f>Z66*Feuil2!$K$3</f>
        <v>278.07196102314253</v>
      </c>
      <c r="AP66" s="3">
        <f>AA66*Feuil2!$L$3</f>
        <v>0</v>
      </c>
      <c r="AQ66" s="3">
        <f>AB66*Feuil2!$M$3</f>
        <v>0</v>
      </c>
      <c r="AR66" s="3">
        <f>AC66*Feuil2!$N$3</f>
        <v>1660.6666426471984</v>
      </c>
    </row>
    <row r="67" spans="1:44" x14ac:dyDescent="0.35">
      <c r="A67" t="s">
        <v>137</v>
      </c>
      <c r="B67" t="s">
        <v>138</v>
      </c>
      <c r="C67">
        <v>349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390</v>
      </c>
      <c r="L67">
        <v>511</v>
      </c>
      <c r="M67">
        <v>200</v>
      </c>
      <c r="N67">
        <v>200</v>
      </c>
      <c r="O67">
        <v>1650</v>
      </c>
      <c r="Q67" s="1">
        <f>C67/$C$434</f>
        <v>8.6153694240785998E-3</v>
      </c>
      <c r="R67" s="1">
        <f t="shared" si="5"/>
        <v>0</v>
      </c>
      <c r="S67" s="1">
        <f t="shared" si="9"/>
        <v>0</v>
      </c>
      <c r="T67" s="1">
        <f t="shared" si="10"/>
        <v>0</v>
      </c>
      <c r="U67" s="1">
        <f t="shared" si="11"/>
        <v>0</v>
      </c>
      <c r="V67" s="1">
        <f t="shared" si="12"/>
        <v>0</v>
      </c>
      <c r="W67" s="1">
        <f t="shared" si="13"/>
        <v>0</v>
      </c>
      <c r="X67" s="1">
        <f t="shared" si="14"/>
        <v>0</v>
      </c>
      <c r="Y67" s="1">
        <f t="shared" si="15"/>
        <v>9.9813170219844906E-3</v>
      </c>
      <c r="Z67" s="1">
        <f t="shared" si="6"/>
        <v>1.2966910272025985E-2</v>
      </c>
      <c r="AA67" s="1">
        <f t="shared" ref="AA67:AA130" si="16">M67/M$434</f>
        <v>5.0071351676138501E-3</v>
      </c>
      <c r="AB67" s="1">
        <f t="shared" ref="AB67:AB130" si="17">N67/N$434</f>
        <v>7.0303712035995501E-3</v>
      </c>
      <c r="AC67" s="1">
        <f t="shared" ref="AC67:AC130" si="18">O67/O$434</f>
        <v>4.3456275086122438E-3</v>
      </c>
      <c r="AD67" s="1" t="str">
        <f t="shared" si="7"/>
        <v>MARY AUTOMOBILES SAINT LO</v>
      </c>
      <c r="AE67" s="1" t="str">
        <f t="shared" si="8"/>
        <v>1016</v>
      </c>
      <c r="AF67" s="3">
        <f>Q67*Feuil2!$B$3</f>
        <v>304.76800414722652</v>
      </c>
      <c r="AG67" s="3">
        <f>R67*Feuil2!$C$3</f>
        <v>0</v>
      </c>
      <c r="AH67" s="3">
        <f>S67*Feuil2!$D$3</f>
        <v>0</v>
      </c>
      <c r="AI67" s="3">
        <f>T67*Feuil2!$E$2</f>
        <v>0</v>
      </c>
      <c r="AJ67" s="3">
        <f>U67*Feuil2!$F$3</f>
        <v>0</v>
      </c>
      <c r="AK67" s="3">
        <f>V67*Feuil2!$G$3</f>
        <v>0</v>
      </c>
      <c r="AL67" s="3">
        <f>W67*Feuil2!$H$3</f>
        <v>0</v>
      </c>
      <c r="AM67" s="3">
        <f>X67*Feuil2!$I$2</f>
        <v>0</v>
      </c>
      <c r="AN67" s="3">
        <f>Y67*Feuil2!$J$3</f>
        <v>421.73899111918718</v>
      </c>
      <c r="AO67" s="3">
        <f>Z67*Feuil2!$K$3</f>
        <v>522.40725030450676</v>
      </c>
      <c r="AP67" s="3">
        <f>AA67*Feuil2!$L$3</f>
        <v>182.04681671381721</v>
      </c>
      <c r="AQ67" s="3">
        <f>AB67*Feuil2!$M$3</f>
        <v>234.88329583802027</v>
      </c>
      <c r="AR67" s="3">
        <f>AC67*Feuil2!$N$3</f>
        <v>1819.4554849720303</v>
      </c>
    </row>
    <row r="68" spans="1:44" x14ac:dyDescent="0.35">
      <c r="A68" t="s">
        <v>139</v>
      </c>
      <c r="B68" t="s">
        <v>140</v>
      </c>
      <c r="C68">
        <v>202</v>
      </c>
      <c r="D68">
        <v>0</v>
      </c>
      <c r="E68">
        <v>122</v>
      </c>
      <c r="F68">
        <v>345</v>
      </c>
      <c r="G68">
        <v>75</v>
      </c>
      <c r="H68">
        <v>66</v>
      </c>
      <c r="I68">
        <v>35</v>
      </c>
      <c r="J68">
        <v>25</v>
      </c>
      <c r="K68">
        <v>273</v>
      </c>
      <c r="L68">
        <v>102</v>
      </c>
      <c r="M68">
        <v>185</v>
      </c>
      <c r="N68">
        <v>185</v>
      </c>
      <c r="O68">
        <v>1615</v>
      </c>
      <c r="Q68" s="1">
        <f>C68/$C$434</f>
        <v>4.9865461996099628E-3</v>
      </c>
      <c r="R68" s="1">
        <f t="shared" ref="R68:R131" si="19">D68/D$434</f>
        <v>0</v>
      </c>
      <c r="S68" s="1">
        <f t="shared" si="9"/>
        <v>4.1413489935164128E-3</v>
      </c>
      <c r="T68" s="1">
        <f t="shared" si="10"/>
        <v>1.3853752559932538E-2</v>
      </c>
      <c r="U68" s="1">
        <f t="shared" si="11"/>
        <v>3.5751739918009344E-3</v>
      </c>
      <c r="V68" s="1">
        <f t="shared" si="12"/>
        <v>2.2093529273926288E-3</v>
      </c>
      <c r="W68" s="1">
        <f t="shared" si="13"/>
        <v>7.8373415737381885E-4</v>
      </c>
      <c r="X68" s="1">
        <f t="shared" si="14"/>
        <v>1.3356127791430709E-3</v>
      </c>
      <c r="Y68" s="1">
        <f t="shared" si="15"/>
        <v>6.9869219153891431E-3</v>
      </c>
      <c r="Z68" s="1">
        <f t="shared" ref="Z68:Z131" si="20">L68/L$434</f>
        <v>2.5883069427527407E-3</v>
      </c>
      <c r="AA68" s="1">
        <f t="shared" si="16"/>
        <v>4.6316000300428107E-3</v>
      </c>
      <c r="AB68" s="1">
        <f t="shared" si="17"/>
        <v>6.503093363329584E-3</v>
      </c>
      <c r="AC68" s="1">
        <f t="shared" si="18"/>
        <v>4.2534475311568325E-3</v>
      </c>
      <c r="AD68" s="1" t="str">
        <f t="shared" ref="AD68:AD131" si="21">A68</f>
        <v>DE CALIX</v>
      </c>
      <c r="AE68" s="1" t="str">
        <f t="shared" ref="AE68:AE131" si="22">B68</f>
        <v>3162</v>
      </c>
      <c r="AF68" s="3">
        <f>Q68*Feuil2!$B$3</f>
        <v>176.39867288750645</v>
      </c>
      <c r="AG68" s="3">
        <f>R68*Feuil2!$C$3</f>
        <v>0</v>
      </c>
      <c r="AH68" s="3">
        <f>S68*Feuil2!$D$3</f>
        <v>162.74590447740931</v>
      </c>
      <c r="AI68" s="3">
        <f>T68*Feuil2!$E$2</f>
        <v>519.28020720395136</v>
      </c>
      <c r="AJ68" s="3">
        <f>U68*Feuil2!$F$3</f>
        <v>91.339975212127001</v>
      </c>
      <c r="AK68" s="3">
        <f>V68*Feuil2!$G$3</f>
        <v>89.009792119974563</v>
      </c>
      <c r="AL68" s="3">
        <f>W68*Feuil2!$H$3</f>
        <v>28.494598952035474</v>
      </c>
      <c r="AM68" s="3">
        <f>X68*Feuil2!$I$2</f>
        <v>28.531360188054283</v>
      </c>
      <c r="AN68" s="3">
        <f>Y68*Feuil2!$J$3</f>
        <v>295.21729378343105</v>
      </c>
      <c r="AO68" s="3">
        <f>Z68*Feuil2!$K$3</f>
        <v>104.27698538367845</v>
      </c>
      <c r="AP68" s="3">
        <f>AA68*Feuil2!$L$3</f>
        <v>168.39330546028091</v>
      </c>
      <c r="AQ68" s="3">
        <f>AB68*Feuil2!$M$3</f>
        <v>217.26704865016876</v>
      </c>
      <c r="AR68" s="3">
        <f>AC68*Feuil2!$N$3</f>
        <v>1780.8609746847446</v>
      </c>
    </row>
    <row r="69" spans="1:44" x14ac:dyDescent="0.35">
      <c r="A69" t="s">
        <v>141</v>
      </c>
      <c r="B69" t="s">
        <v>142</v>
      </c>
      <c r="C69">
        <v>73</v>
      </c>
      <c r="D69">
        <v>28</v>
      </c>
      <c r="E69">
        <v>171</v>
      </c>
      <c r="F69">
        <v>144</v>
      </c>
      <c r="G69">
        <v>0</v>
      </c>
      <c r="H69">
        <v>104</v>
      </c>
      <c r="I69">
        <v>196</v>
      </c>
      <c r="J69">
        <v>61</v>
      </c>
      <c r="K69">
        <v>211</v>
      </c>
      <c r="L69">
        <v>308</v>
      </c>
      <c r="M69">
        <v>129</v>
      </c>
      <c r="N69">
        <v>129</v>
      </c>
      <c r="O69">
        <v>1554</v>
      </c>
      <c r="Q69" s="1">
        <f>C69/$C$434</f>
        <v>1.80206867609667E-3</v>
      </c>
      <c r="R69" s="1">
        <f t="shared" si="19"/>
        <v>1.1803389258915773E-3</v>
      </c>
      <c r="S69" s="1">
        <f t="shared" si="9"/>
        <v>5.8046776876336604E-3</v>
      </c>
      <c r="T69" s="1">
        <f t="shared" si="10"/>
        <v>5.782435851102277E-3</v>
      </c>
      <c r="U69" s="1">
        <f t="shared" si="11"/>
        <v>0</v>
      </c>
      <c r="V69" s="1">
        <f t="shared" si="12"/>
        <v>3.4814046128611121E-3</v>
      </c>
      <c r="W69" s="1">
        <f t="shared" si="13"/>
        <v>4.388911281293385E-3</v>
      </c>
      <c r="X69" s="1">
        <f t="shared" si="14"/>
        <v>3.2588951811090929E-3</v>
      </c>
      <c r="Y69" s="1">
        <f t="shared" si="15"/>
        <v>5.4001484400993012E-3</v>
      </c>
      <c r="Z69" s="1">
        <f t="shared" si="20"/>
        <v>7.8156719447827847E-3</v>
      </c>
      <c r="AA69" s="1">
        <f t="shared" si="16"/>
        <v>3.2296021831109329E-3</v>
      </c>
      <c r="AB69" s="1">
        <f t="shared" si="17"/>
        <v>4.53458942632171E-3</v>
      </c>
      <c r="AC69" s="1">
        <f t="shared" si="18"/>
        <v>4.0927909990202587E-3</v>
      </c>
      <c r="AD69" s="1" t="str">
        <f t="shared" si="21"/>
        <v>BRETTEVILLE AUTO</v>
      </c>
      <c r="AE69" s="1" t="str">
        <f t="shared" si="22"/>
        <v>3019</v>
      </c>
      <c r="AF69" s="3">
        <f>Q69*Feuil2!$B$3</f>
        <v>63.748035251425605</v>
      </c>
      <c r="AG69" s="3">
        <f>R69*Feuil2!$C$3</f>
        <v>41.754395076300476</v>
      </c>
      <c r="AH69" s="3">
        <f>S69*Feuil2!$D$3</f>
        <v>228.11106283309007</v>
      </c>
      <c r="AI69" s="3">
        <f>T69*Feuil2!$E$2</f>
        <v>216.74304300686666</v>
      </c>
      <c r="AJ69" s="3">
        <f>U69*Feuil2!$F$3</f>
        <v>0</v>
      </c>
      <c r="AK69" s="3">
        <f>V69*Feuil2!$G$3</f>
        <v>140.2578542496569</v>
      </c>
      <c r="AL69" s="3">
        <f>W69*Feuil2!$H$3</f>
        <v>159.56975413139864</v>
      </c>
      <c r="AM69" s="3">
        <f>X69*Feuil2!$I$2</f>
        <v>69.616518858852444</v>
      </c>
      <c r="AN69" s="3">
        <f>Y69*Feuil2!$J$3</f>
        <v>228.17160801576537</v>
      </c>
      <c r="AO69" s="3">
        <f>Z69*Feuil2!$K$3</f>
        <v>314.8756029232643</v>
      </c>
      <c r="AP69" s="3">
        <f>AA69*Feuil2!$L$3</f>
        <v>117.4201967804121</v>
      </c>
      <c r="AQ69" s="3">
        <f>AB69*Feuil2!$M$3</f>
        <v>151.49972581552308</v>
      </c>
      <c r="AR69" s="3">
        <f>AC69*Feuil2!$N$3</f>
        <v>1713.5962567554757</v>
      </c>
    </row>
    <row r="70" spans="1:44" x14ac:dyDescent="0.35">
      <c r="A70" t="s">
        <v>143</v>
      </c>
      <c r="B70" t="s">
        <v>144</v>
      </c>
      <c r="C70">
        <v>0</v>
      </c>
      <c r="D70">
        <v>0</v>
      </c>
      <c r="E70">
        <v>590</v>
      </c>
      <c r="F70">
        <v>8</v>
      </c>
      <c r="G70">
        <v>0</v>
      </c>
      <c r="H70">
        <v>0</v>
      </c>
      <c r="I70">
        <v>0</v>
      </c>
      <c r="J70">
        <v>0</v>
      </c>
      <c r="K70">
        <v>0</v>
      </c>
      <c r="L70">
        <v>748</v>
      </c>
      <c r="M70">
        <v>76</v>
      </c>
      <c r="N70">
        <v>76</v>
      </c>
      <c r="O70">
        <v>1498</v>
      </c>
      <c r="Q70" s="1">
        <f>C70/$C$434</f>
        <v>0</v>
      </c>
      <c r="R70" s="1">
        <f t="shared" si="19"/>
        <v>0</v>
      </c>
      <c r="S70" s="1">
        <f t="shared" si="9"/>
        <v>2.00278352965138E-2</v>
      </c>
      <c r="T70" s="1">
        <f t="shared" si="10"/>
        <v>3.2124643617234869E-4</v>
      </c>
      <c r="U70" s="1">
        <f t="shared" si="11"/>
        <v>0</v>
      </c>
      <c r="V70" s="1">
        <f t="shared" si="12"/>
        <v>0</v>
      </c>
      <c r="W70" s="1">
        <f t="shared" si="13"/>
        <v>0</v>
      </c>
      <c r="X70" s="1">
        <f t="shared" si="14"/>
        <v>0</v>
      </c>
      <c r="Y70" s="1">
        <f t="shared" si="15"/>
        <v>0</v>
      </c>
      <c r="Z70" s="1">
        <f t="shared" si="20"/>
        <v>1.8980917580186763E-2</v>
      </c>
      <c r="AA70" s="1">
        <f t="shared" si="16"/>
        <v>1.9027113636932629E-3</v>
      </c>
      <c r="AB70" s="1">
        <f t="shared" si="17"/>
        <v>2.6715410573678292E-3</v>
      </c>
      <c r="AC70" s="1">
        <f t="shared" si="18"/>
        <v>3.9453030350916005E-3</v>
      </c>
      <c r="AD70" s="1" t="str">
        <f t="shared" si="21"/>
        <v>GV AUTOMOBILES</v>
      </c>
      <c r="AE70" s="1" t="str">
        <f t="shared" si="22"/>
        <v>3342</v>
      </c>
      <c r="AF70" s="3">
        <f>Q70*Feuil2!$B$3</f>
        <v>0</v>
      </c>
      <c r="AG70" s="3">
        <f>R70*Feuil2!$C$3</f>
        <v>0</v>
      </c>
      <c r="AH70" s="3">
        <f>S70*Feuil2!$D$3</f>
        <v>787.04986591534009</v>
      </c>
      <c r="AI70" s="3">
        <f>T70*Feuil2!$E$2</f>
        <v>12.041280167048146</v>
      </c>
      <c r="AJ70" s="3">
        <f>U70*Feuil2!$F$3</f>
        <v>0</v>
      </c>
      <c r="AK70" s="3">
        <f>V70*Feuil2!$G$3</f>
        <v>0</v>
      </c>
      <c r="AL70" s="3">
        <f>W70*Feuil2!$H$3</f>
        <v>0</v>
      </c>
      <c r="AM70" s="3">
        <f>X70*Feuil2!$I$2</f>
        <v>0</v>
      </c>
      <c r="AN70" s="3">
        <f>Y70*Feuil2!$J$3</f>
        <v>0</v>
      </c>
      <c r="AO70" s="3">
        <f>Z70*Feuil2!$K$3</f>
        <v>764.69789281364183</v>
      </c>
      <c r="AP70" s="3">
        <f>AA70*Feuil2!$L$3</f>
        <v>69.177790351250536</v>
      </c>
      <c r="AQ70" s="3">
        <f>AB70*Feuil2!$M$3</f>
        <v>89.25565241844771</v>
      </c>
      <c r="AR70" s="3">
        <f>AC70*Feuil2!$N$3</f>
        <v>1651.8450402958188</v>
      </c>
    </row>
    <row r="71" spans="1:44" x14ac:dyDescent="0.35">
      <c r="A71" t="s">
        <v>145</v>
      </c>
      <c r="B71" t="s">
        <v>146</v>
      </c>
      <c r="C71">
        <v>14</v>
      </c>
      <c r="D71">
        <v>37</v>
      </c>
      <c r="E71">
        <v>55</v>
      </c>
      <c r="F71">
        <v>256</v>
      </c>
      <c r="G71">
        <v>81</v>
      </c>
      <c r="H71">
        <v>18</v>
      </c>
      <c r="I71">
        <v>394</v>
      </c>
      <c r="J71">
        <v>246</v>
      </c>
      <c r="K71">
        <v>119</v>
      </c>
      <c r="L71">
        <v>134</v>
      </c>
      <c r="M71">
        <v>62</v>
      </c>
      <c r="N71">
        <v>62</v>
      </c>
      <c r="O71">
        <v>1478</v>
      </c>
      <c r="Q71" s="1">
        <f>C71/$C$434</f>
        <v>3.4560221185415588E-4</v>
      </c>
      <c r="R71" s="1">
        <f t="shared" si="19"/>
        <v>1.5597335806424417E-3</v>
      </c>
      <c r="S71" s="1">
        <f t="shared" si="9"/>
        <v>1.867001595437727E-3</v>
      </c>
      <c r="T71" s="1">
        <f t="shared" si="10"/>
        <v>1.0279885957515158E-2</v>
      </c>
      <c r="U71" s="1">
        <f t="shared" si="11"/>
        <v>3.8611879111450091E-3</v>
      </c>
      <c r="V71" s="1">
        <f t="shared" si="12"/>
        <v>6.0255079837980789E-4</v>
      </c>
      <c r="W71" s="1">
        <f t="shared" si="13"/>
        <v>8.8226073715795602E-3</v>
      </c>
      <c r="X71" s="1">
        <f t="shared" si="14"/>
        <v>1.3142429746767817E-2</v>
      </c>
      <c r="Y71" s="1">
        <f t="shared" si="15"/>
        <v>3.0455813477337293E-3</v>
      </c>
      <c r="Z71" s="1">
        <f t="shared" si="20"/>
        <v>3.4003248071457571E-3</v>
      </c>
      <c r="AA71" s="1">
        <f t="shared" si="16"/>
        <v>1.5522119019602935E-3</v>
      </c>
      <c r="AB71" s="1">
        <f t="shared" si="17"/>
        <v>2.1794150731158607E-3</v>
      </c>
      <c r="AC71" s="1">
        <f t="shared" si="18"/>
        <v>3.892628762259937E-3</v>
      </c>
      <c r="AD71" s="1" t="str">
        <f t="shared" si="21"/>
        <v>BOURGES AUTOMOBILES</v>
      </c>
      <c r="AE71" s="1" t="str">
        <f t="shared" si="22"/>
        <v>5465</v>
      </c>
      <c r="AF71" s="3">
        <f>Q71*Feuil2!$B$3</f>
        <v>12.225650596163815</v>
      </c>
      <c r="AG71" s="3">
        <f>R71*Feuil2!$C$3</f>
        <v>55.175450636539921</v>
      </c>
      <c r="AH71" s="3">
        <f>S71*Feuil2!$D$3</f>
        <v>73.369055297192716</v>
      </c>
      <c r="AI71" s="3">
        <f>T71*Feuil2!$E$2</f>
        <v>385.32096534554069</v>
      </c>
      <c r="AJ71" s="3">
        <f>U71*Feuil2!$F$3</f>
        <v>98.647173229097163</v>
      </c>
      <c r="AK71" s="3">
        <f>V71*Feuil2!$G$3</f>
        <v>24.275397850902156</v>
      </c>
      <c r="AL71" s="3">
        <f>W71*Feuil2!$H$3</f>
        <v>320.76777106005648</v>
      </c>
      <c r="AM71" s="3">
        <f>X71*Feuil2!$I$2</f>
        <v>280.74858425045409</v>
      </c>
      <c r="AN71" s="3">
        <f>Y71*Feuil2!$J$3</f>
        <v>128.68446139277765</v>
      </c>
      <c r="AO71" s="3">
        <f>Z71*Feuil2!$K$3</f>
        <v>136.99133373934225</v>
      </c>
      <c r="AP71" s="3">
        <f>AA71*Feuil2!$L$3</f>
        <v>56.434513181283336</v>
      </c>
      <c r="AQ71" s="3">
        <f>AB71*Feuil2!$M$3</f>
        <v>72.813821709786282</v>
      </c>
      <c r="AR71" s="3">
        <f>AC71*Feuil2!$N$3</f>
        <v>1629.7910344173699</v>
      </c>
    </row>
    <row r="72" spans="1:44" x14ac:dyDescent="0.35">
      <c r="A72" t="s">
        <v>147</v>
      </c>
      <c r="B72" t="s">
        <v>148</v>
      </c>
      <c r="C72">
        <v>0</v>
      </c>
      <c r="D72">
        <v>0</v>
      </c>
      <c r="E72">
        <v>132</v>
      </c>
      <c r="F72">
        <v>55</v>
      </c>
      <c r="G72">
        <v>275</v>
      </c>
      <c r="H72">
        <v>401</v>
      </c>
      <c r="I72">
        <v>192</v>
      </c>
      <c r="J72">
        <v>0</v>
      </c>
      <c r="K72">
        <v>120</v>
      </c>
      <c r="L72">
        <v>0</v>
      </c>
      <c r="M72">
        <v>213</v>
      </c>
      <c r="N72">
        <v>213</v>
      </c>
      <c r="O72">
        <v>1601</v>
      </c>
      <c r="Q72" s="1">
        <f>C72/$C$434</f>
        <v>0</v>
      </c>
      <c r="R72" s="1">
        <f t="shared" si="19"/>
        <v>0</v>
      </c>
      <c r="S72" s="1">
        <f t="shared" si="9"/>
        <v>4.4808038290505446E-3</v>
      </c>
      <c r="T72" s="1">
        <f t="shared" si="10"/>
        <v>2.2085692486848974E-3</v>
      </c>
      <c r="U72" s="1">
        <f t="shared" si="11"/>
        <v>1.3108971303270092E-2</v>
      </c>
      <c r="V72" s="1">
        <f t="shared" si="12"/>
        <v>1.3423492786127941E-2</v>
      </c>
      <c r="W72" s="1">
        <f t="shared" si="13"/>
        <v>4.2993416633078062E-3</v>
      </c>
      <c r="X72" s="1">
        <f t="shared" si="14"/>
        <v>0</v>
      </c>
      <c r="Y72" s="1">
        <f t="shared" si="15"/>
        <v>3.0711744683029202E-3</v>
      </c>
      <c r="Z72" s="1">
        <f t="shared" si="20"/>
        <v>0</v>
      </c>
      <c r="AA72" s="1">
        <f t="shared" si="16"/>
        <v>5.3325989535087503E-3</v>
      </c>
      <c r="AB72" s="1">
        <f t="shared" si="17"/>
        <v>7.487345331833521E-3</v>
      </c>
      <c r="AC72" s="1">
        <f t="shared" si="18"/>
        <v>4.2165755401746682E-3</v>
      </c>
      <c r="AD72" s="1" t="str">
        <f t="shared" si="21"/>
        <v>HULMEL AUTOMOBILES</v>
      </c>
      <c r="AE72" s="1" t="str">
        <f t="shared" si="22"/>
        <v>3738</v>
      </c>
      <c r="AF72" s="3">
        <f>Q72*Feuil2!$B$3</f>
        <v>0</v>
      </c>
      <c r="AG72" s="3">
        <f>R72*Feuil2!$C$3</f>
        <v>0</v>
      </c>
      <c r="AH72" s="3">
        <f>S72*Feuil2!$D$3</f>
        <v>176.0857327132625</v>
      </c>
      <c r="AI72" s="3">
        <f>T72*Feuil2!$E$2</f>
        <v>82.783801148456007</v>
      </c>
      <c r="AJ72" s="3">
        <f>U72*Feuil2!$F$3</f>
        <v>334.91324244446565</v>
      </c>
      <c r="AK72" s="3">
        <f>V72*Feuil2!$G$3</f>
        <v>540.80191878954236</v>
      </c>
      <c r="AL72" s="3">
        <f>W72*Feuil2!$H$3</f>
        <v>156.3132285368803</v>
      </c>
      <c r="AM72" s="3">
        <f>X72*Feuil2!$I$2</f>
        <v>0</v>
      </c>
      <c r="AN72" s="3">
        <f>Y72*Feuil2!$J$3</f>
        <v>129.76584342128837</v>
      </c>
      <c r="AO72" s="3">
        <f>Z72*Feuil2!$K$3</f>
        <v>0</v>
      </c>
      <c r="AP72" s="3">
        <f>AA72*Feuil2!$L$3</f>
        <v>193.87985980021534</v>
      </c>
      <c r="AQ72" s="3">
        <f>AB72*Feuil2!$M$3</f>
        <v>250.15071006749159</v>
      </c>
      <c r="AR72" s="3">
        <f>AC72*Feuil2!$N$3</f>
        <v>1765.4231705698305</v>
      </c>
    </row>
    <row r="73" spans="1:44" x14ac:dyDescent="0.35">
      <c r="A73" t="s">
        <v>149</v>
      </c>
      <c r="B73" t="s">
        <v>150</v>
      </c>
      <c r="C73">
        <v>164</v>
      </c>
      <c r="D73">
        <v>92</v>
      </c>
      <c r="E73">
        <v>221</v>
      </c>
      <c r="F73">
        <v>92</v>
      </c>
      <c r="G73">
        <v>0</v>
      </c>
      <c r="H73">
        <v>251</v>
      </c>
      <c r="I73">
        <v>112</v>
      </c>
      <c r="J73">
        <v>0</v>
      </c>
      <c r="K73">
        <v>208</v>
      </c>
      <c r="L73">
        <v>150</v>
      </c>
      <c r="M73">
        <v>0</v>
      </c>
      <c r="N73">
        <v>0</v>
      </c>
      <c r="O73">
        <v>1290</v>
      </c>
      <c r="Q73" s="1">
        <f>C73/$C$434</f>
        <v>4.0484830531486828E-3</v>
      </c>
      <c r="R73" s="1">
        <f t="shared" si="19"/>
        <v>3.8782564707866116E-3</v>
      </c>
      <c r="S73" s="1">
        <f t="shared" si="9"/>
        <v>7.501951865304321E-3</v>
      </c>
      <c r="T73" s="1">
        <f t="shared" si="10"/>
        <v>3.6943340159820101E-3</v>
      </c>
      <c r="U73" s="1">
        <f t="shared" si="11"/>
        <v>0</v>
      </c>
      <c r="V73" s="1">
        <f t="shared" si="12"/>
        <v>8.4022361329628755E-3</v>
      </c>
      <c r="W73" s="1">
        <f t="shared" si="13"/>
        <v>2.50794930359622E-3</v>
      </c>
      <c r="X73" s="1">
        <f t="shared" si="14"/>
        <v>0</v>
      </c>
      <c r="Y73" s="1">
        <f t="shared" si="15"/>
        <v>5.3233690783917285E-3</v>
      </c>
      <c r="Z73" s="1">
        <f t="shared" si="20"/>
        <v>3.8063337393422656E-3</v>
      </c>
      <c r="AA73" s="1">
        <f t="shared" si="16"/>
        <v>0</v>
      </c>
      <c r="AB73" s="1">
        <f t="shared" si="17"/>
        <v>0</v>
      </c>
      <c r="AC73" s="1">
        <f t="shared" si="18"/>
        <v>3.3974905976422993E-3</v>
      </c>
      <c r="AD73" s="1" t="str">
        <f t="shared" si="21"/>
        <v>CARROSSERIE DU VILLAGE</v>
      </c>
      <c r="AE73" s="1" t="str">
        <f t="shared" si="22"/>
        <v>5793</v>
      </c>
      <c r="AF73" s="3">
        <f>Q73*Feuil2!$B$3</f>
        <v>143.21476412649039</v>
      </c>
      <c r="AG73" s="3">
        <f>R73*Feuil2!$C$3</f>
        <v>137.19301239355872</v>
      </c>
      <c r="AH73" s="3">
        <f>S73*Feuil2!$D$3</f>
        <v>294.81020401235617</v>
      </c>
      <c r="AI73" s="3">
        <f>T73*Feuil2!$E$2</f>
        <v>138.47472192105369</v>
      </c>
      <c r="AJ73" s="3">
        <f>U73*Feuil2!$F$3</f>
        <v>0</v>
      </c>
      <c r="AK73" s="3">
        <f>V73*Feuil2!$G$3</f>
        <v>338.50693669869111</v>
      </c>
      <c r="AL73" s="3">
        <f>W73*Feuil2!$H$3</f>
        <v>91.182716646513498</v>
      </c>
      <c r="AM73" s="3">
        <f>X73*Feuil2!$I$2</f>
        <v>0</v>
      </c>
      <c r="AN73" s="3">
        <f>Y73*Feuil2!$J$3</f>
        <v>224.92746193023319</v>
      </c>
      <c r="AO73" s="3">
        <f>Z73*Feuil2!$K$3</f>
        <v>153.34850791717417</v>
      </c>
      <c r="AP73" s="3">
        <f>AA73*Feuil2!$L$3</f>
        <v>0</v>
      </c>
      <c r="AQ73" s="3">
        <f>AB73*Feuil2!$M$3</f>
        <v>0</v>
      </c>
      <c r="AR73" s="3">
        <f>AC73*Feuil2!$N$3</f>
        <v>1422.4833791599508</v>
      </c>
    </row>
    <row r="74" spans="1:44" x14ac:dyDescent="0.35">
      <c r="A74" t="s">
        <v>151</v>
      </c>
      <c r="B74" t="s">
        <v>152</v>
      </c>
      <c r="C74">
        <v>207</v>
      </c>
      <c r="D74">
        <v>50</v>
      </c>
      <c r="E74">
        <v>0</v>
      </c>
      <c r="F74">
        <v>211</v>
      </c>
      <c r="G74">
        <v>48</v>
      </c>
      <c r="H74">
        <v>55</v>
      </c>
      <c r="I74">
        <v>111</v>
      </c>
      <c r="J74">
        <v>20</v>
      </c>
      <c r="K74">
        <v>15</v>
      </c>
      <c r="L74">
        <v>230</v>
      </c>
      <c r="M74">
        <v>340</v>
      </c>
      <c r="N74">
        <v>340</v>
      </c>
      <c r="O74">
        <v>1627</v>
      </c>
      <c r="Q74" s="1">
        <f>C74/$C$434</f>
        <v>5.1099755609864475E-3</v>
      </c>
      <c r="R74" s="1">
        <f t="shared" si="19"/>
        <v>2.1077480819492456E-3</v>
      </c>
      <c r="S74" s="1">
        <f t="shared" si="9"/>
        <v>0</v>
      </c>
      <c r="T74" s="1">
        <f t="shared" si="10"/>
        <v>8.4728747540456974E-3</v>
      </c>
      <c r="U74" s="1">
        <f t="shared" si="11"/>
        <v>2.2881113547525977E-3</v>
      </c>
      <c r="V74" s="1">
        <f t="shared" si="12"/>
        <v>1.8411274394938572E-3</v>
      </c>
      <c r="W74" s="1">
        <f t="shared" si="13"/>
        <v>2.4855568990998253E-3</v>
      </c>
      <c r="X74" s="1">
        <f t="shared" si="14"/>
        <v>1.0684902233144566E-3</v>
      </c>
      <c r="Y74" s="1">
        <f t="shared" si="15"/>
        <v>3.8389680853786502E-4</v>
      </c>
      <c r="Z74" s="1">
        <f t="shared" si="20"/>
        <v>5.8363784003248069E-3</v>
      </c>
      <c r="AA74" s="1">
        <f t="shared" si="16"/>
        <v>8.5121297849435444E-3</v>
      </c>
      <c r="AB74" s="1">
        <f t="shared" si="17"/>
        <v>1.1951631046119236E-2</v>
      </c>
      <c r="AC74" s="1">
        <f t="shared" si="18"/>
        <v>4.2850520948558308E-3</v>
      </c>
      <c r="AD74" s="1" t="str">
        <f t="shared" si="21"/>
        <v>GRUDE</v>
      </c>
      <c r="AE74" s="1" t="str">
        <f t="shared" si="22"/>
        <v>3031</v>
      </c>
      <c r="AF74" s="3">
        <f>Q74*Feuil2!$B$3</f>
        <v>180.76497667185069</v>
      </c>
      <c r="AG74" s="3">
        <f>R74*Feuil2!$C$3</f>
        <v>74.561419779108007</v>
      </c>
      <c r="AH74" s="3">
        <f>S74*Feuil2!$D$3</f>
        <v>0</v>
      </c>
      <c r="AI74" s="3">
        <f>T74*Feuil2!$E$2</f>
        <v>317.58876440589489</v>
      </c>
      <c r="AJ74" s="3">
        <f>U74*Feuil2!$F$3</f>
        <v>58.457584135761273</v>
      </c>
      <c r="AK74" s="3">
        <f>V74*Feuil2!$G$3</f>
        <v>74.174826766645467</v>
      </c>
      <c r="AL74" s="3">
        <f>W74*Feuil2!$H$3</f>
        <v>90.368585247883928</v>
      </c>
      <c r="AM74" s="3">
        <f>X74*Feuil2!$I$2</f>
        <v>22.825088150443424</v>
      </c>
      <c r="AN74" s="3">
        <f>Y74*Feuil2!$J$3</f>
        <v>16.220730427661046</v>
      </c>
      <c r="AO74" s="3">
        <f>Z74*Feuil2!$K$3</f>
        <v>235.13437880633373</v>
      </c>
      <c r="AP74" s="3">
        <f>AA74*Feuil2!$L$3</f>
        <v>309.47958841348924</v>
      </c>
      <c r="AQ74" s="3">
        <f>AB74*Feuil2!$M$3</f>
        <v>399.30160292463449</v>
      </c>
      <c r="AR74" s="3">
        <f>AC74*Feuil2!$N$3</f>
        <v>1794.0933782118141</v>
      </c>
    </row>
    <row r="75" spans="1:44" x14ac:dyDescent="0.35">
      <c r="A75" t="s">
        <v>153</v>
      </c>
      <c r="B75" t="s">
        <v>154</v>
      </c>
      <c r="C75">
        <v>0</v>
      </c>
      <c r="D75">
        <v>22</v>
      </c>
      <c r="E75">
        <v>163</v>
      </c>
      <c r="F75">
        <v>16</v>
      </c>
      <c r="G75">
        <v>0</v>
      </c>
      <c r="H75">
        <v>133</v>
      </c>
      <c r="I75">
        <v>108</v>
      </c>
      <c r="J75">
        <v>0</v>
      </c>
      <c r="K75">
        <v>223</v>
      </c>
      <c r="L75">
        <v>358</v>
      </c>
      <c r="M75">
        <v>247</v>
      </c>
      <c r="N75">
        <v>247</v>
      </c>
      <c r="O75">
        <v>1517</v>
      </c>
      <c r="Q75" s="1">
        <f>C75/$C$434</f>
        <v>0</v>
      </c>
      <c r="R75" s="1">
        <f t="shared" si="19"/>
        <v>9.2740915605766801E-4</v>
      </c>
      <c r="S75" s="1">
        <f t="shared" si="9"/>
        <v>5.5331138192063548E-3</v>
      </c>
      <c r="T75" s="1">
        <f t="shared" si="10"/>
        <v>6.4249287234469739E-4</v>
      </c>
      <c r="U75" s="1">
        <f t="shared" si="11"/>
        <v>0</v>
      </c>
      <c r="V75" s="1">
        <f t="shared" si="12"/>
        <v>4.4521808991396915E-3</v>
      </c>
      <c r="W75" s="1">
        <f t="shared" si="13"/>
        <v>2.4183796856106408E-3</v>
      </c>
      <c r="X75" s="1">
        <f t="shared" si="14"/>
        <v>0</v>
      </c>
      <c r="Y75" s="1">
        <f t="shared" si="15"/>
        <v>5.7072658869295936E-3</v>
      </c>
      <c r="Z75" s="1">
        <f t="shared" si="20"/>
        <v>9.084449857896873E-3</v>
      </c>
      <c r="AA75" s="1">
        <f t="shared" si="16"/>
        <v>6.183811932003104E-3</v>
      </c>
      <c r="AB75" s="1">
        <f t="shared" si="17"/>
        <v>8.6825084364454443E-3</v>
      </c>
      <c r="AC75" s="1">
        <f t="shared" si="18"/>
        <v>3.9953435942816813E-3</v>
      </c>
      <c r="AD75" s="1" t="str">
        <f t="shared" si="21"/>
        <v>COIFFARD SARL</v>
      </c>
      <c r="AE75" s="1" t="str">
        <f t="shared" si="22"/>
        <v>3187</v>
      </c>
      <c r="AF75" s="3">
        <f>Q75*Feuil2!$B$3</f>
        <v>0</v>
      </c>
      <c r="AG75" s="3">
        <f>R75*Feuil2!$C$3</f>
        <v>32.807024702807517</v>
      </c>
      <c r="AH75" s="3">
        <f>S75*Feuil2!$D$3</f>
        <v>217.43920024440752</v>
      </c>
      <c r="AI75" s="3">
        <f>T75*Feuil2!$E$2</f>
        <v>24.082560334096293</v>
      </c>
      <c r="AJ75" s="3">
        <f>U75*Feuil2!$F$3</f>
        <v>0</v>
      </c>
      <c r="AK75" s="3">
        <f>V75*Feuil2!$G$3</f>
        <v>179.36821745388815</v>
      </c>
      <c r="AL75" s="3">
        <f>W75*Feuil2!$H$3</f>
        <v>87.926191051995161</v>
      </c>
      <c r="AM75" s="3">
        <f>X75*Feuil2!$I$2</f>
        <v>0</v>
      </c>
      <c r="AN75" s="3">
        <f>Y75*Feuil2!$J$3</f>
        <v>241.14819235789423</v>
      </c>
      <c r="AO75" s="3">
        <f>Z75*Feuil2!$K$3</f>
        <v>365.99177222898902</v>
      </c>
      <c r="AP75" s="3">
        <f>AA75*Feuil2!$L$3</f>
        <v>224.82781864156422</v>
      </c>
      <c r="AQ75" s="3">
        <f>AB75*Feuil2!$M$3</f>
        <v>290.08087035995504</v>
      </c>
      <c r="AR75" s="3">
        <f>AC75*Feuil2!$N$3</f>
        <v>1672.7963458803454</v>
      </c>
    </row>
    <row r="76" spans="1:44" x14ac:dyDescent="0.35">
      <c r="A76" t="s">
        <v>155</v>
      </c>
      <c r="B76" t="s">
        <v>156</v>
      </c>
      <c r="C76">
        <v>206</v>
      </c>
      <c r="D76">
        <v>8</v>
      </c>
      <c r="E76">
        <v>0</v>
      </c>
      <c r="F76">
        <v>96</v>
      </c>
      <c r="G76">
        <v>60</v>
      </c>
      <c r="H76">
        <v>71</v>
      </c>
      <c r="I76">
        <v>142</v>
      </c>
      <c r="J76">
        <v>70</v>
      </c>
      <c r="K76">
        <v>309</v>
      </c>
      <c r="L76">
        <v>180</v>
      </c>
      <c r="M76">
        <v>93</v>
      </c>
      <c r="N76">
        <v>93</v>
      </c>
      <c r="O76">
        <v>1328</v>
      </c>
      <c r="Q76" s="1">
        <f>C76/$C$434</f>
        <v>5.0852896887111504E-3</v>
      </c>
      <c r="R76" s="1">
        <f t="shared" si="19"/>
        <v>3.3723969311187928E-4</v>
      </c>
      <c r="S76" s="1">
        <f t="shared" si="9"/>
        <v>0</v>
      </c>
      <c r="T76" s="1">
        <f t="shared" si="10"/>
        <v>3.8549572340681845E-3</v>
      </c>
      <c r="U76" s="1">
        <f t="shared" si="11"/>
        <v>2.8601391934407476E-3</v>
      </c>
      <c r="V76" s="1">
        <f t="shared" si="12"/>
        <v>2.3767281491647975E-3</v>
      </c>
      <c r="W76" s="1">
        <f t="shared" si="13"/>
        <v>3.1797214384880648E-3</v>
      </c>
      <c r="X76" s="1">
        <f t="shared" si="14"/>
        <v>3.7397157816005983E-3</v>
      </c>
      <c r="Y76" s="1">
        <f t="shared" si="15"/>
        <v>7.9082742558800202E-3</v>
      </c>
      <c r="Z76" s="1">
        <f t="shared" si="20"/>
        <v>4.5676004872107186E-3</v>
      </c>
      <c r="AA76" s="1">
        <f t="shared" si="16"/>
        <v>2.32831785294044E-3</v>
      </c>
      <c r="AB76" s="1">
        <f t="shared" si="17"/>
        <v>3.2691226096737908E-3</v>
      </c>
      <c r="AC76" s="1">
        <f t="shared" si="18"/>
        <v>3.4975717160224602E-3</v>
      </c>
      <c r="AD76" s="1" t="str">
        <f t="shared" si="21"/>
        <v>GSA GARAGE SAINTE ANNE</v>
      </c>
      <c r="AE76" s="1" t="str">
        <f t="shared" si="22"/>
        <v>5470</v>
      </c>
      <c r="AF76" s="3">
        <f>Q76*Feuil2!$B$3</f>
        <v>179.89171591498183</v>
      </c>
      <c r="AG76" s="3">
        <f>R76*Feuil2!$C$3</f>
        <v>11.929827164657279</v>
      </c>
      <c r="AH76" s="3">
        <f>S76*Feuil2!$D$3</f>
        <v>0</v>
      </c>
      <c r="AI76" s="3">
        <f>T76*Feuil2!$E$2</f>
        <v>144.49536200457777</v>
      </c>
      <c r="AJ76" s="3">
        <f>U76*Feuil2!$F$3</f>
        <v>73.071980169701604</v>
      </c>
      <c r="AK76" s="3">
        <f>V76*Feuil2!$G$3</f>
        <v>95.752958189669599</v>
      </c>
      <c r="AL76" s="3">
        <f>W76*Feuil2!$H$3</f>
        <v>115.60665860540105</v>
      </c>
      <c r="AM76" s="3">
        <f>X76*Feuil2!$I$2</f>
        <v>79.887808526551979</v>
      </c>
      <c r="AN76" s="3">
        <f>Y76*Feuil2!$J$3</f>
        <v>334.1470468098176</v>
      </c>
      <c r="AO76" s="3">
        <f>Z76*Feuil2!$K$3</f>
        <v>184.018209500609</v>
      </c>
      <c r="AP76" s="3">
        <f>AA76*Feuil2!$L$3</f>
        <v>84.65176977192499</v>
      </c>
      <c r="AQ76" s="3">
        <f>AB76*Feuil2!$M$3</f>
        <v>109.22073256467942</v>
      </c>
      <c r="AR76" s="3">
        <f>AC76*Feuil2!$N$3</f>
        <v>1464.3859903290036</v>
      </c>
    </row>
    <row r="77" spans="1:44" x14ac:dyDescent="0.35">
      <c r="A77" t="s">
        <v>157</v>
      </c>
      <c r="B77" t="s">
        <v>158</v>
      </c>
      <c r="C77">
        <v>0</v>
      </c>
      <c r="D77">
        <v>0</v>
      </c>
      <c r="E77">
        <v>62</v>
      </c>
      <c r="F77">
        <v>0</v>
      </c>
      <c r="G77">
        <v>79</v>
      </c>
      <c r="H77">
        <v>112</v>
      </c>
      <c r="I77">
        <v>482</v>
      </c>
      <c r="J77">
        <v>103</v>
      </c>
      <c r="K77">
        <v>8</v>
      </c>
      <c r="L77">
        <v>150</v>
      </c>
      <c r="M77">
        <v>140</v>
      </c>
      <c r="N77">
        <v>140</v>
      </c>
      <c r="O77">
        <v>1276</v>
      </c>
      <c r="Q77" s="1">
        <f>C77/$C$434</f>
        <v>0</v>
      </c>
      <c r="R77" s="1">
        <f t="shared" si="19"/>
        <v>0</v>
      </c>
      <c r="S77" s="1">
        <f t="shared" si="9"/>
        <v>2.1046199803116195E-3</v>
      </c>
      <c r="T77" s="1">
        <f t="shared" si="10"/>
        <v>0</v>
      </c>
      <c r="U77" s="1">
        <f t="shared" si="11"/>
        <v>3.7658499380303174E-3</v>
      </c>
      <c r="V77" s="1">
        <f t="shared" si="12"/>
        <v>3.7492049676965821E-3</v>
      </c>
      <c r="W77" s="1">
        <f t="shared" si="13"/>
        <v>1.0793138967262304E-2</v>
      </c>
      <c r="X77" s="1">
        <f t="shared" si="14"/>
        <v>5.5027246500694519E-3</v>
      </c>
      <c r="Y77" s="1">
        <f t="shared" si="15"/>
        <v>2.0474496455352801E-4</v>
      </c>
      <c r="Z77" s="1">
        <f t="shared" si="20"/>
        <v>3.8063337393422656E-3</v>
      </c>
      <c r="AA77" s="1">
        <f t="shared" si="16"/>
        <v>3.5049946173296947E-3</v>
      </c>
      <c r="AB77" s="1">
        <f t="shared" si="17"/>
        <v>4.921259842519685E-3</v>
      </c>
      <c r="AC77" s="1">
        <f t="shared" si="18"/>
        <v>3.360618606660135E-3</v>
      </c>
      <c r="AD77" s="1" t="str">
        <f t="shared" si="21"/>
        <v>DU STADE</v>
      </c>
      <c r="AE77" s="1" t="str">
        <f t="shared" si="22"/>
        <v>5289</v>
      </c>
      <c r="AF77" s="3">
        <f>Q77*Feuil2!$B$3</f>
        <v>0</v>
      </c>
      <c r="AG77" s="3">
        <f>R77*Feuil2!$C$3</f>
        <v>0</v>
      </c>
      <c r="AH77" s="3">
        <f>S77*Feuil2!$D$3</f>
        <v>82.706935062289972</v>
      </c>
      <c r="AI77" s="3">
        <f>T77*Feuil2!$E$2</f>
        <v>0</v>
      </c>
      <c r="AJ77" s="3">
        <f>U77*Feuil2!$F$3</f>
        <v>96.211440556773766</v>
      </c>
      <c r="AK77" s="3">
        <f>V77*Feuil2!$G$3</f>
        <v>151.04691996116895</v>
      </c>
      <c r="AL77" s="3">
        <f>W77*Feuil2!$H$3</f>
        <v>392.41133413945988</v>
      </c>
      <c r="AM77" s="3">
        <f>X77*Feuil2!$I$2</f>
        <v>117.54920397478364</v>
      </c>
      <c r="AN77" s="3">
        <f>Y77*Feuil2!$J$3</f>
        <v>8.651056228085892</v>
      </c>
      <c r="AO77" s="3">
        <f>Z77*Feuil2!$K$3</f>
        <v>153.34850791717417</v>
      </c>
      <c r="AP77" s="3">
        <f>AA77*Feuil2!$L$3</f>
        <v>127.43277169967205</v>
      </c>
      <c r="AQ77" s="3">
        <f>AB77*Feuil2!$M$3</f>
        <v>164.41830708661419</v>
      </c>
      <c r="AR77" s="3">
        <f>AC77*Feuil2!$N$3</f>
        <v>1407.0455750450367</v>
      </c>
    </row>
    <row r="78" spans="1:44" x14ac:dyDescent="0.35">
      <c r="A78" t="s">
        <v>159</v>
      </c>
      <c r="B78" t="s">
        <v>160</v>
      </c>
      <c r="C78">
        <v>120</v>
      </c>
      <c r="D78">
        <v>127</v>
      </c>
      <c r="E78">
        <v>97</v>
      </c>
      <c r="F78">
        <v>61</v>
      </c>
      <c r="G78">
        <v>87</v>
      </c>
      <c r="H78">
        <v>76</v>
      </c>
      <c r="I78">
        <v>126</v>
      </c>
      <c r="J78">
        <v>97</v>
      </c>
      <c r="K78">
        <v>96</v>
      </c>
      <c r="L78">
        <v>71</v>
      </c>
      <c r="M78">
        <v>174</v>
      </c>
      <c r="N78">
        <v>174</v>
      </c>
      <c r="O78">
        <v>1306</v>
      </c>
      <c r="Q78" s="1">
        <f>C78/$C$434</f>
        <v>2.9623046730356218E-3</v>
      </c>
      <c r="R78" s="1">
        <f t="shared" si="19"/>
        <v>5.353680128151083E-3</v>
      </c>
      <c r="S78" s="1">
        <f t="shared" si="9"/>
        <v>3.292711904681082E-3</v>
      </c>
      <c r="T78" s="1">
        <f t="shared" si="10"/>
        <v>2.4495040758141591E-3</v>
      </c>
      <c r="U78" s="1">
        <f t="shared" si="11"/>
        <v>4.1472018304890834E-3</v>
      </c>
      <c r="V78" s="1">
        <f t="shared" si="12"/>
        <v>2.5441033709369663E-3</v>
      </c>
      <c r="W78" s="1">
        <f t="shared" si="13"/>
        <v>2.8214429665457475E-3</v>
      </c>
      <c r="X78" s="1">
        <f t="shared" si="14"/>
        <v>5.1821775830751147E-3</v>
      </c>
      <c r="Y78" s="1">
        <f t="shared" si="15"/>
        <v>2.4569395746423363E-3</v>
      </c>
      <c r="Z78" s="1">
        <f t="shared" si="20"/>
        <v>1.8016646366220057E-3</v>
      </c>
      <c r="AA78" s="1">
        <f t="shared" si="16"/>
        <v>4.3562075958240489E-3</v>
      </c>
      <c r="AB78" s="1">
        <f t="shared" si="17"/>
        <v>6.1164229471316082E-3</v>
      </c>
      <c r="AC78" s="1">
        <f t="shared" si="18"/>
        <v>3.4396300159076302E-3</v>
      </c>
      <c r="AD78" s="1" t="str">
        <f t="shared" si="21"/>
        <v>DES PEUPLIERS</v>
      </c>
      <c r="AE78" s="1" t="str">
        <f t="shared" si="22"/>
        <v>3043</v>
      </c>
      <c r="AF78" s="3">
        <f>Q78*Feuil2!$B$3</f>
        <v>104.79129082426127</v>
      </c>
      <c r="AG78" s="3">
        <f>R78*Feuil2!$C$3</f>
        <v>189.3860062389343</v>
      </c>
      <c r="AH78" s="3">
        <f>S78*Feuil2!$D$3</f>
        <v>129.39633388777622</v>
      </c>
      <c r="AI78" s="3">
        <f>T78*Feuil2!$E$2</f>
        <v>91.814761273742121</v>
      </c>
      <c r="AJ78" s="3">
        <f>U78*Feuil2!$F$3</f>
        <v>105.95437124606731</v>
      </c>
      <c r="AK78" s="3">
        <f>V78*Feuil2!$G$3</f>
        <v>102.49612425936463</v>
      </c>
      <c r="AL78" s="3">
        <f>W78*Feuil2!$H$3</f>
        <v>102.58055622732769</v>
      </c>
      <c r="AM78" s="3">
        <f>X78*Feuil2!$I$2</f>
        <v>110.7016775296506</v>
      </c>
      <c r="AN78" s="3">
        <f>Y78*Feuil2!$J$3</f>
        <v>103.8126747370307</v>
      </c>
      <c r="AO78" s="3">
        <f>Z78*Feuil2!$K$3</f>
        <v>72.584960414129114</v>
      </c>
      <c r="AP78" s="3">
        <f>AA78*Feuil2!$L$3</f>
        <v>158.38073054102097</v>
      </c>
      <c r="AQ78" s="3">
        <f>AB78*Feuil2!$M$3</f>
        <v>204.34846737907762</v>
      </c>
      <c r="AR78" s="3">
        <f>AC78*Feuil2!$N$3</f>
        <v>1440.1265838627098</v>
      </c>
    </row>
    <row r="79" spans="1:44" x14ac:dyDescent="0.35">
      <c r="A79" t="s">
        <v>161</v>
      </c>
      <c r="B79" t="s">
        <v>162</v>
      </c>
      <c r="C79">
        <v>41</v>
      </c>
      <c r="D79">
        <v>50</v>
      </c>
      <c r="E79">
        <v>0</v>
      </c>
      <c r="F79">
        <v>179</v>
      </c>
      <c r="G79">
        <v>0</v>
      </c>
      <c r="H79">
        <v>113</v>
      </c>
      <c r="I79">
        <v>112</v>
      </c>
      <c r="J79">
        <v>113</v>
      </c>
      <c r="K79">
        <v>204</v>
      </c>
      <c r="L79">
        <v>117</v>
      </c>
      <c r="M79">
        <v>167</v>
      </c>
      <c r="N79">
        <v>167</v>
      </c>
      <c r="O79">
        <v>1263</v>
      </c>
      <c r="Q79" s="1">
        <f>C79/$C$434</f>
        <v>1.0121207632871707E-3</v>
      </c>
      <c r="R79" s="1">
        <f t="shared" si="19"/>
        <v>2.1077480819492456E-3</v>
      </c>
      <c r="S79" s="1">
        <f t="shared" si="9"/>
        <v>0</v>
      </c>
      <c r="T79" s="1">
        <f t="shared" si="10"/>
        <v>7.1878890093563024E-3</v>
      </c>
      <c r="U79" s="1">
        <f t="shared" si="11"/>
        <v>0</v>
      </c>
      <c r="V79" s="1">
        <f t="shared" si="12"/>
        <v>3.7826800120510161E-3</v>
      </c>
      <c r="W79" s="1">
        <f t="shared" si="13"/>
        <v>2.50794930359622E-3</v>
      </c>
      <c r="X79" s="1">
        <f t="shared" si="14"/>
        <v>6.0369697617266805E-3</v>
      </c>
      <c r="Y79" s="1">
        <f t="shared" si="15"/>
        <v>5.2209965961149641E-3</v>
      </c>
      <c r="Z79" s="1">
        <f t="shared" si="20"/>
        <v>2.9689403166869672E-3</v>
      </c>
      <c r="AA79" s="1">
        <f t="shared" si="16"/>
        <v>4.1809578649575647E-3</v>
      </c>
      <c r="AB79" s="1">
        <f t="shared" si="17"/>
        <v>5.8703599550056244E-3</v>
      </c>
      <c r="AC79" s="1">
        <f t="shared" si="18"/>
        <v>3.3263803293195537E-3</v>
      </c>
      <c r="AD79" s="1" t="str">
        <f t="shared" si="21"/>
        <v>GDC AUTO LISIEUX</v>
      </c>
      <c r="AE79" s="1" t="str">
        <f t="shared" si="22"/>
        <v>5180</v>
      </c>
      <c r="AF79" s="3">
        <f>Q79*Feuil2!$B$3</f>
        <v>35.803691031622598</v>
      </c>
      <c r="AG79" s="3">
        <f>R79*Feuil2!$C$3</f>
        <v>74.561419779108007</v>
      </c>
      <c r="AH79" s="3">
        <f>S79*Feuil2!$D$3</f>
        <v>0</v>
      </c>
      <c r="AI79" s="3">
        <f>T79*Feuil2!$E$2</f>
        <v>269.42364373770226</v>
      </c>
      <c r="AJ79" s="3">
        <f>U79*Feuil2!$F$3</f>
        <v>0</v>
      </c>
      <c r="AK79" s="3">
        <f>V79*Feuil2!$G$3</f>
        <v>152.39555317510798</v>
      </c>
      <c r="AL79" s="3">
        <f>W79*Feuil2!$H$3</f>
        <v>91.182716646513498</v>
      </c>
      <c r="AM79" s="3">
        <f>X79*Feuil2!$I$2</f>
        <v>128.96174805000535</v>
      </c>
      <c r="AN79" s="3">
        <f>Y79*Feuil2!$J$3</f>
        <v>220.60193381619021</v>
      </c>
      <c r="AO79" s="3">
        <f>Z79*Feuil2!$K$3</f>
        <v>119.61183617539587</v>
      </c>
      <c r="AP79" s="3">
        <f>AA79*Feuil2!$L$3</f>
        <v>152.00909195603737</v>
      </c>
      <c r="AQ79" s="3">
        <f>AB79*Feuil2!$M$3</f>
        <v>196.12755202474693</v>
      </c>
      <c r="AR79" s="3">
        <f>AC79*Feuil2!$N$3</f>
        <v>1392.7104712240448</v>
      </c>
    </row>
    <row r="80" spans="1:44" x14ac:dyDescent="0.35">
      <c r="A80" t="s">
        <v>163</v>
      </c>
      <c r="B80" t="s">
        <v>164</v>
      </c>
      <c r="C80">
        <v>262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339</v>
      </c>
      <c r="L80">
        <v>209</v>
      </c>
      <c r="M80">
        <v>255</v>
      </c>
      <c r="N80">
        <v>255</v>
      </c>
      <c r="O80">
        <v>1320</v>
      </c>
      <c r="Q80" s="1">
        <f>C80/$C$434</f>
        <v>6.4676985361277741E-3</v>
      </c>
      <c r="R80" s="1">
        <f t="shared" si="19"/>
        <v>0</v>
      </c>
      <c r="S80" s="1">
        <f t="shared" si="9"/>
        <v>0</v>
      </c>
      <c r="T80" s="1">
        <f t="shared" si="10"/>
        <v>0</v>
      </c>
      <c r="U80" s="1">
        <f t="shared" si="11"/>
        <v>0</v>
      </c>
      <c r="V80" s="1">
        <f t="shared" si="12"/>
        <v>0</v>
      </c>
      <c r="W80" s="1">
        <f t="shared" si="13"/>
        <v>0</v>
      </c>
      <c r="X80" s="1">
        <f t="shared" si="14"/>
        <v>0</v>
      </c>
      <c r="Y80" s="1">
        <f t="shared" si="15"/>
        <v>8.6760678729557502E-3</v>
      </c>
      <c r="Z80" s="1">
        <f t="shared" si="20"/>
        <v>5.3034916768168903E-3</v>
      </c>
      <c r="AA80" s="1">
        <f t="shared" si="16"/>
        <v>6.3840973387076583E-3</v>
      </c>
      <c r="AB80" s="1">
        <f t="shared" si="17"/>
        <v>8.9637232845894265E-3</v>
      </c>
      <c r="AC80" s="1">
        <f t="shared" si="18"/>
        <v>3.476502006889795E-3</v>
      </c>
      <c r="AD80" s="1" t="str">
        <f t="shared" si="21"/>
        <v>CALENGE</v>
      </c>
      <c r="AE80" s="1" t="str">
        <f t="shared" si="22"/>
        <v>2006</v>
      </c>
      <c r="AF80" s="3">
        <f>Q80*Feuil2!$B$3</f>
        <v>228.7943182996371</v>
      </c>
      <c r="AG80" s="3">
        <f>R80*Feuil2!$C$3</f>
        <v>0</v>
      </c>
      <c r="AH80" s="3">
        <f>S80*Feuil2!$D$3</f>
        <v>0</v>
      </c>
      <c r="AI80" s="3">
        <f>T80*Feuil2!$E$2</f>
        <v>0</v>
      </c>
      <c r="AJ80" s="3">
        <f>U80*Feuil2!$F$3</f>
        <v>0</v>
      </c>
      <c r="AK80" s="3">
        <f>V80*Feuil2!$G$3</f>
        <v>0</v>
      </c>
      <c r="AL80" s="3">
        <f>W80*Feuil2!$H$3</f>
        <v>0</v>
      </c>
      <c r="AM80" s="3">
        <f>X80*Feuil2!$I$2</f>
        <v>0</v>
      </c>
      <c r="AN80" s="3">
        <f>Y80*Feuil2!$J$3</f>
        <v>366.58850766513967</v>
      </c>
      <c r="AO80" s="3">
        <f>Z80*Feuil2!$K$3</f>
        <v>213.66558769792937</v>
      </c>
      <c r="AP80" s="3">
        <f>AA80*Feuil2!$L$3</f>
        <v>232.10969131011694</v>
      </c>
      <c r="AQ80" s="3">
        <f>AB80*Feuil2!$M$3</f>
        <v>299.47620219347584</v>
      </c>
      <c r="AR80" s="3">
        <f>AC80*Feuil2!$N$3</f>
        <v>1455.5643879776242</v>
      </c>
    </row>
    <row r="81" spans="1:44" x14ac:dyDescent="0.35">
      <c r="A81" t="s">
        <v>165</v>
      </c>
      <c r="B81" t="s">
        <v>166</v>
      </c>
      <c r="C81">
        <v>40</v>
      </c>
      <c r="D81">
        <v>138</v>
      </c>
      <c r="E81">
        <v>18</v>
      </c>
      <c r="F81">
        <v>249</v>
      </c>
      <c r="G81">
        <v>112</v>
      </c>
      <c r="H81">
        <v>56</v>
      </c>
      <c r="I81">
        <v>91</v>
      </c>
      <c r="J81">
        <v>49</v>
      </c>
      <c r="K81">
        <v>28</v>
      </c>
      <c r="L81">
        <v>143</v>
      </c>
      <c r="M81">
        <v>126</v>
      </c>
      <c r="N81">
        <v>126</v>
      </c>
      <c r="O81">
        <v>1176</v>
      </c>
      <c r="Q81" s="1">
        <f>C81/$C$434</f>
        <v>9.874348910118738E-4</v>
      </c>
      <c r="R81" s="1">
        <f t="shared" si="19"/>
        <v>5.8173847061799176E-3</v>
      </c>
      <c r="S81" s="1">
        <f t="shared" si="9"/>
        <v>6.1101870396143793E-4</v>
      </c>
      <c r="T81" s="1">
        <f t="shared" si="10"/>
        <v>9.9987953258643542E-3</v>
      </c>
      <c r="U81" s="1">
        <f t="shared" si="11"/>
        <v>5.3389264944227284E-3</v>
      </c>
      <c r="V81" s="1">
        <f t="shared" si="12"/>
        <v>1.874602483848291E-3</v>
      </c>
      <c r="W81" s="1">
        <f t="shared" si="13"/>
        <v>2.0377088091719287E-3</v>
      </c>
      <c r="X81" s="1">
        <f t="shared" si="14"/>
        <v>2.617801047120419E-3</v>
      </c>
      <c r="Y81" s="1">
        <f t="shared" si="15"/>
        <v>7.1660737593734806E-4</v>
      </c>
      <c r="Z81" s="1">
        <f t="shared" si="20"/>
        <v>3.628704831506293E-3</v>
      </c>
      <c r="AA81" s="1">
        <f t="shared" si="16"/>
        <v>3.1544951555967254E-3</v>
      </c>
      <c r="AB81" s="1">
        <f t="shared" si="17"/>
        <v>4.4291338582677165E-3</v>
      </c>
      <c r="AC81" s="1">
        <f t="shared" si="18"/>
        <v>3.0972472425018173E-3</v>
      </c>
      <c r="AD81" s="1" t="str">
        <f t="shared" si="21"/>
        <v>GERARD DOLPIERRE</v>
      </c>
      <c r="AE81" s="1" t="str">
        <f t="shared" si="22"/>
        <v>9773</v>
      </c>
      <c r="AF81" s="3">
        <f>Q81*Feuil2!$B$3</f>
        <v>34.930430274753753</v>
      </c>
      <c r="AG81" s="3">
        <f>R81*Feuil2!$C$3</f>
        <v>205.78951859033808</v>
      </c>
      <c r="AH81" s="3">
        <f>S81*Feuil2!$D$3</f>
        <v>24.011690824535798</v>
      </c>
      <c r="AI81" s="3">
        <f>T81*Feuil2!$E$2</f>
        <v>374.78484519937359</v>
      </c>
      <c r="AJ81" s="3">
        <f>U81*Feuil2!$F$3</f>
        <v>136.40102965010965</v>
      </c>
      <c r="AK81" s="3">
        <f>V81*Feuil2!$G$3</f>
        <v>75.523459980584477</v>
      </c>
      <c r="AL81" s="3">
        <f>W81*Feuil2!$H$3</f>
        <v>74.085957275292216</v>
      </c>
      <c r="AM81" s="3">
        <f>X81*Feuil2!$I$2</f>
        <v>55.921465968586389</v>
      </c>
      <c r="AN81" s="3">
        <f>Y81*Feuil2!$J$3</f>
        <v>30.278696798300619</v>
      </c>
      <c r="AO81" s="3">
        <f>Z81*Feuil2!$K$3</f>
        <v>146.19224421437272</v>
      </c>
      <c r="AP81" s="3">
        <f>AA81*Feuil2!$L$3</f>
        <v>114.68949452970485</v>
      </c>
      <c r="AQ81" s="3">
        <f>AB81*Feuil2!$M$3</f>
        <v>147.97647637795276</v>
      </c>
      <c r="AR81" s="3">
        <f>AC81*Feuil2!$N$3</f>
        <v>1296.7755456527923</v>
      </c>
    </row>
    <row r="82" spans="1:44" x14ac:dyDescent="0.35">
      <c r="A82" t="s">
        <v>167</v>
      </c>
      <c r="B82" t="s">
        <v>168</v>
      </c>
      <c r="C82">
        <v>102</v>
      </c>
      <c r="D82">
        <v>677</v>
      </c>
      <c r="E82">
        <v>0</v>
      </c>
      <c r="F82">
        <v>0</v>
      </c>
      <c r="G82">
        <v>0</v>
      </c>
      <c r="H82">
        <v>70</v>
      </c>
      <c r="I82">
        <v>31</v>
      </c>
      <c r="J82">
        <v>0</v>
      </c>
      <c r="K82">
        <v>70</v>
      </c>
      <c r="L82">
        <v>37</v>
      </c>
      <c r="M82">
        <v>61</v>
      </c>
      <c r="N82">
        <v>61</v>
      </c>
      <c r="O82">
        <v>1109</v>
      </c>
      <c r="Q82" s="1">
        <f>C82/$C$434</f>
        <v>2.5179589720802785E-3</v>
      </c>
      <c r="R82" s="1">
        <f t="shared" si="19"/>
        <v>2.8538909029592784E-2</v>
      </c>
      <c r="S82" s="1">
        <f t="shared" si="9"/>
        <v>0</v>
      </c>
      <c r="T82" s="1">
        <f t="shared" si="10"/>
        <v>0</v>
      </c>
      <c r="U82" s="1">
        <f t="shared" si="11"/>
        <v>0</v>
      </c>
      <c r="V82" s="1">
        <f t="shared" si="12"/>
        <v>2.3432531048103639E-3</v>
      </c>
      <c r="W82" s="1">
        <f t="shared" si="13"/>
        <v>6.9416453938823952E-4</v>
      </c>
      <c r="X82" s="1">
        <f t="shared" si="14"/>
        <v>0</v>
      </c>
      <c r="Y82" s="1">
        <f t="shared" si="15"/>
        <v>1.79151843984337E-3</v>
      </c>
      <c r="Z82" s="1">
        <f t="shared" si="20"/>
        <v>9.3889565570442546E-4</v>
      </c>
      <c r="AA82" s="1">
        <f t="shared" si="16"/>
        <v>1.5271762261222241E-3</v>
      </c>
      <c r="AB82" s="1">
        <f t="shared" si="17"/>
        <v>2.1442632170978627E-3</v>
      </c>
      <c r="AC82" s="1">
        <f t="shared" si="18"/>
        <v>2.9207884285157443E-3</v>
      </c>
      <c r="AD82" s="1" t="str">
        <f t="shared" si="21"/>
        <v>GMA</v>
      </c>
      <c r="AE82" s="1" t="str">
        <f t="shared" si="22"/>
        <v>6821</v>
      </c>
      <c r="AF82" s="3">
        <f>Q82*Feuil2!$B$3</f>
        <v>89.072597200622084</v>
      </c>
      <c r="AG82" s="3">
        <f>R82*Feuil2!$C$3</f>
        <v>1009.5616238091224</v>
      </c>
      <c r="AH82" s="3">
        <f>S82*Feuil2!$D$3</f>
        <v>0</v>
      </c>
      <c r="AI82" s="3">
        <f>T82*Feuil2!$E$2</f>
        <v>0</v>
      </c>
      <c r="AJ82" s="3">
        <f>U82*Feuil2!$F$3</f>
        <v>0</v>
      </c>
      <c r="AK82" s="3">
        <f>V82*Feuil2!$G$3</f>
        <v>94.404324975730603</v>
      </c>
      <c r="AL82" s="3">
        <f>W82*Feuil2!$H$3</f>
        <v>25.238073357517134</v>
      </c>
      <c r="AM82" s="3">
        <f>X82*Feuil2!$I$2</f>
        <v>0</v>
      </c>
      <c r="AN82" s="3">
        <f>Y82*Feuil2!$J$3</f>
        <v>75.696741995751552</v>
      </c>
      <c r="AO82" s="3">
        <f>Z82*Feuil2!$K$3</f>
        <v>37.825965286236297</v>
      </c>
      <c r="AP82" s="3">
        <f>AA82*Feuil2!$L$3</f>
        <v>55.524279097714249</v>
      </c>
      <c r="AQ82" s="3">
        <f>AB82*Feuil2!$M$3</f>
        <v>71.639405230596182</v>
      </c>
      <c r="AR82" s="3">
        <f>AC82*Feuil2!$N$3</f>
        <v>1222.8946259599886</v>
      </c>
    </row>
    <row r="83" spans="1:44" x14ac:dyDescent="0.35">
      <c r="A83" t="s">
        <v>169</v>
      </c>
      <c r="B83" t="s">
        <v>170</v>
      </c>
      <c r="C83">
        <v>0</v>
      </c>
      <c r="D83">
        <v>99</v>
      </c>
      <c r="E83">
        <v>102</v>
      </c>
      <c r="F83">
        <v>0</v>
      </c>
      <c r="G83">
        <v>0</v>
      </c>
      <c r="H83">
        <v>272</v>
      </c>
      <c r="I83">
        <v>0</v>
      </c>
      <c r="J83">
        <v>0</v>
      </c>
      <c r="K83">
        <v>222</v>
      </c>
      <c r="L83">
        <v>141</v>
      </c>
      <c r="M83">
        <v>200</v>
      </c>
      <c r="N83">
        <v>200</v>
      </c>
      <c r="O83">
        <v>1236</v>
      </c>
      <c r="Q83" s="1">
        <f>C83/$C$434</f>
        <v>0</v>
      </c>
      <c r="R83" s="1">
        <f t="shared" si="19"/>
        <v>4.1733412022595057E-3</v>
      </c>
      <c r="S83" s="1">
        <f t="shared" ref="S83:S146" si="23">E83/E$434</f>
        <v>3.4624393224481484E-3</v>
      </c>
      <c r="T83" s="1">
        <f t="shared" ref="T83:T146" si="24">F83/F$434</f>
        <v>0</v>
      </c>
      <c r="U83" s="1">
        <f t="shared" ref="U83:U146" si="25">G83/G$434</f>
        <v>0</v>
      </c>
      <c r="V83" s="1">
        <f t="shared" ref="V83:V146" si="26">H83/H$434</f>
        <v>9.1052120644059854E-3</v>
      </c>
      <c r="W83" s="1">
        <f t="shared" ref="W83:W146" si="27">I83/I$434</f>
        <v>0</v>
      </c>
      <c r="X83" s="1">
        <f t="shared" ref="X83:X146" si="28">J83/J$434</f>
        <v>0</v>
      </c>
      <c r="Y83" s="1">
        <f t="shared" ref="Y83:Y146" si="29">K83/K$434</f>
        <v>5.6816727663604027E-3</v>
      </c>
      <c r="Z83" s="1">
        <f t="shared" si="20"/>
        <v>3.5779537149817297E-3</v>
      </c>
      <c r="AA83" s="1">
        <f t="shared" si="16"/>
        <v>5.0071351676138501E-3</v>
      </c>
      <c r="AB83" s="1">
        <f t="shared" si="17"/>
        <v>7.0303712035995501E-3</v>
      </c>
      <c r="AC83" s="1">
        <f t="shared" si="18"/>
        <v>3.2552700609968081E-3</v>
      </c>
      <c r="AD83" s="1" t="str">
        <f t="shared" si="21"/>
        <v>GDB TURQUETIL</v>
      </c>
      <c r="AE83" s="1" t="str">
        <f t="shared" si="22"/>
        <v>5467</v>
      </c>
      <c r="AF83" s="3">
        <f>Q83*Feuil2!$B$3</f>
        <v>0</v>
      </c>
      <c r="AG83" s="3">
        <f>R83*Feuil2!$C$3</f>
        <v>147.63161116263382</v>
      </c>
      <c r="AH83" s="3">
        <f>S83*Feuil2!$D$3</f>
        <v>136.06624800570285</v>
      </c>
      <c r="AI83" s="3">
        <f>T83*Feuil2!$E$2</f>
        <v>0</v>
      </c>
      <c r="AJ83" s="3">
        <f>U83*Feuil2!$F$3</f>
        <v>0</v>
      </c>
      <c r="AK83" s="3">
        <f>V83*Feuil2!$G$3</f>
        <v>366.82823419141033</v>
      </c>
      <c r="AL83" s="3">
        <f>W83*Feuil2!$H$3</f>
        <v>0</v>
      </c>
      <c r="AM83" s="3">
        <f>X83*Feuil2!$I$2</f>
        <v>0</v>
      </c>
      <c r="AN83" s="3">
        <f>Y83*Feuil2!$J$3</f>
        <v>240.06681032938349</v>
      </c>
      <c r="AO83" s="3">
        <f>Z83*Feuil2!$K$3</f>
        <v>144.14759744214373</v>
      </c>
      <c r="AP83" s="3">
        <f>AA83*Feuil2!$L$3</f>
        <v>182.04681671381721</v>
      </c>
      <c r="AQ83" s="3">
        <f>AB83*Feuil2!$M$3</f>
        <v>234.88329583802027</v>
      </c>
      <c r="AR83" s="3">
        <f>AC83*Feuil2!$N$3</f>
        <v>1362.937563288139</v>
      </c>
    </row>
    <row r="84" spans="1:44" x14ac:dyDescent="0.35">
      <c r="A84" t="s">
        <v>171</v>
      </c>
      <c r="B84" t="s">
        <v>172</v>
      </c>
      <c r="C84">
        <v>350</v>
      </c>
      <c r="D84">
        <v>0</v>
      </c>
      <c r="E84">
        <v>-10</v>
      </c>
      <c r="F84">
        <v>80</v>
      </c>
      <c r="G84">
        <v>0</v>
      </c>
      <c r="H84">
        <v>124</v>
      </c>
      <c r="I84">
        <v>0</v>
      </c>
      <c r="J84">
        <v>0</v>
      </c>
      <c r="K84">
        <v>262</v>
      </c>
      <c r="L84">
        <v>169</v>
      </c>
      <c r="M84">
        <v>59</v>
      </c>
      <c r="N84">
        <v>59</v>
      </c>
      <c r="O84">
        <v>1093</v>
      </c>
      <c r="Q84" s="1">
        <f>C84/$C$434</f>
        <v>8.6400552963538969E-3</v>
      </c>
      <c r="R84" s="1">
        <f t="shared" si="19"/>
        <v>0</v>
      </c>
      <c r="S84" s="1">
        <f t="shared" si="23"/>
        <v>-3.3945483553413216E-4</v>
      </c>
      <c r="T84" s="1">
        <f t="shared" si="24"/>
        <v>3.212464361723487E-3</v>
      </c>
      <c r="U84" s="1">
        <f t="shared" si="25"/>
        <v>0</v>
      </c>
      <c r="V84" s="1">
        <f t="shared" si="26"/>
        <v>4.1509054999497872E-3</v>
      </c>
      <c r="W84" s="1">
        <f t="shared" si="27"/>
        <v>0</v>
      </c>
      <c r="X84" s="1">
        <f t="shared" si="28"/>
        <v>0</v>
      </c>
      <c r="Y84" s="1">
        <f t="shared" si="29"/>
        <v>6.7053975891280425E-3</v>
      </c>
      <c r="Z84" s="1">
        <f t="shared" si="20"/>
        <v>4.2884693463256188E-3</v>
      </c>
      <c r="AA84" s="1">
        <f t="shared" si="16"/>
        <v>1.4771048744460858E-3</v>
      </c>
      <c r="AB84" s="1">
        <f t="shared" si="17"/>
        <v>2.0739595050618671E-3</v>
      </c>
      <c r="AC84" s="1">
        <f t="shared" si="18"/>
        <v>2.8786490102504134E-3</v>
      </c>
      <c r="AD84" s="1" t="str">
        <f t="shared" si="21"/>
        <v>GARAGE DRUMARE</v>
      </c>
      <c r="AE84" s="1" t="str">
        <f t="shared" si="22"/>
        <v>64798</v>
      </c>
      <c r="AF84" s="3">
        <f>Q84*Feuil2!$B$3</f>
        <v>305.64126490409541</v>
      </c>
      <c r="AG84" s="3">
        <f>R84*Feuil2!$C$3</f>
        <v>0</v>
      </c>
      <c r="AH84" s="3">
        <f>S84*Feuil2!$D$3</f>
        <v>-13.33982823585322</v>
      </c>
      <c r="AI84" s="3">
        <f>T84*Feuil2!$E$2</f>
        <v>120.41280167048147</v>
      </c>
      <c r="AJ84" s="3">
        <f>U84*Feuil2!$F$3</f>
        <v>0</v>
      </c>
      <c r="AK84" s="3">
        <f>V84*Feuil2!$G$3</f>
        <v>167.23051852843705</v>
      </c>
      <c r="AL84" s="3">
        <f>W84*Feuil2!$H$3</f>
        <v>0</v>
      </c>
      <c r="AM84" s="3">
        <f>X84*Feuil2!$I$2</f>
        <v>0</v>
      </c>
      <c r="AN84" s="3">
        <f>Y84*Feuil2!$J$3</f>
        <v>283.32209146981296</v>
      </c>
      <c r="AO84" s="3">
        <f>Z84*Feuil2!$K$3</f>
        <v>172.77265225334958</v>
      </c>
      <c r="AP84" s="3">
        <f>AA84*Feuil2!$L$3</f>
        <v>53.703810930576083</v>
      </c>
      <c r="AQ84" s="3">
        <f>AB84*Feuil2!$M$3</f>
        <v>69.290572272215968</v>
      </c>
      <c r="AR84" s="3">
        <f>AC84*Feuil2!$N$3</f>
        <v>1205.2514212572296</v>
      </c>
    </row>
    <row r="85" spans="1:44" x14ac:dyDescent="0.35">
      <c r="A85" t="s">
        <v>173</v>
      </c>
      <c r="B85" t="s">
        <v>174</v>
      </c>
      <c r="C85">
        <v>50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28</v>
      </c>
      <c r="L85">
        <v>674</v>
      </c>
      <c r="M85">
        <v>260</v>
      </c>
      <c r="N85">
        <v>260</v>
      </c>
      <c r="O85">
        <v>1272</v>
      </c>
      <c r="Q85" s="1">
        <f>C85/$C$434</f>
        <v>1.2342936137648424E-3</v>
      </c>
      <c r="R85" s="1">
        <f t="shared" si="19"/>
        <v>0</v>
      </c>
      <c r="S85" s="1">
        <f t="shared" si="23"/>
        <v>0</v>
      </c>
      <c r="T85" s="1">
        <f t="shared" si="24"/>
        <v>0</v>
      </c>
      <c r="U85" s="1">
        <f t="shared" si="25"/>
        <v>0</v>
      </c>
      <c r="V85" s="1">
        <f t="shared" si="26"/>
        <v>0</v>
      </c>
      <c r="W85" s="1">
        <f t="shared" si="27"/>
        <v>0</v>
      </c>
      <c r="X85" s="1">
        <f t="shared" si="28"/>
        <v>0</v>
      </c>
      <c r="Y85" s="1">
        <f t="shared" si="29"/>
        <v>7.1660737593734806E-4</v>
      </c>
      <c r="Z85" s="1">
        <f t="shared" si="20"/>
        <v>1.7103126268777913E-2</v>
      </c>
      <c r="AA85" s="1">
        <f t="shared" si="16"/>
        <v>6.5092757178980051E-3</v>
      </c>
      <c r="AB85" s="1">
        <f t="shared" si="17"/>
        <v>9.1394825646794152E-3</v>
      </c>
      <c r="AC85" s="1">
        <f t="shared" si="18"/>
        <v>3.3500837520938024E-3</v>
      </c>
      <c r="AD85" s="1" t="str">
        <f t="shared" si="21"/>
        <v>THIERRY CLOTTE</v>
      </c>
      <c r="AE85" s="1" t="str">
        <f t="shared" si="22"/>
        <v>4025</v>
      </c>
      <c r="AF85" s="3">
        <f>Q85*Feuil2!$B$3</f>
        <v>43.663037843442197</v>
      </c>
      <c r="AG85" s="3">
        <f>R85*Feuil2!$C$3</f>
        <v>0</v>
      </c>
      <c r="AH85" s="3">
        <f>S85*Feuil2!$D$3</f>
        <v>0</v>
      </c>
      <c r="AI85" s="3">
        <f>T85*Feuil2!$E$2</f>
        <v>0</v>
      </c>
      <c r="AJ85" s="3">
        <f>U85*Feuil2!$F$3</f>
        <v>0</v>
      </c>
      <c r="AK85" s="3">
        <f>V85*Feuil2!$G$3</f>
        <v>0</v>
      </c>
      <c r="AL85" s="3">
        <f>W85*Feuil2!$H$3</f>
        <v>0</v>
      </c>
      <c r="AM85" s="3">
        <f>X85*Feuil2!$I$2</f>
        <v>0</v>
      </c>
      <c r="AN85" s="3">
        <f>Y85*Feuil2!$J$3</f>
        <v>30.278696798300619</v>
      </c>
      <c r="AO85" s="3">
        <f>Z85*Feuil2!$K$3</f>
        <v>689.04596224116926</v>
      </c>
      <c r="AP85" s="3">
        <f>AA85*Feuil2!$L$3</f>
        <v>236.66086172796238</v>
      </c>
      <c r="AQ85" s="3">
        <f>AB85*Feuil2!$M$3</f>
        <v>305.34828458942633</v>
      </c>
      <c r="AR85" s="3">
        <f>AC85*Feuil2!$N$3</f>
        <v>1402.6347738693469</v>
      </c>
    </row>
    <row r="86" spans="1:44" x14ac:dyDescent="0.35">
      <c r="A86" t="s">
        <v>175</v>
      </c>
      <c r="B86" t="s">
        <v>176</v>
      </c>
      <c r="C86">
        <v>0</v>
      </c>
      <c r="D86">
        <v>107</v>
      </c>
      <c r="E86">
        <v>141</v>
      </c>
      <c r="F86">
        <v>32</v>
      </c>
      <c r="G86">
        <v>158</v>
      </c>
      <c r="H86">
        <v>128</v>
      </c>
      <c r="I86">
        <v>121</v>
      </c>
      <c r="J86">
        <v>26</v>
      </c>
      <c r="K86">
        <v>20</v>
      </c>
      <c r="L86">
        <v>240</v>
      </c>
      <c r="M86">
        <v>25</v>
      </c>
      <c r="N86">
        <v>0</v>
      </c>
      <c r="O86">
        <v>998</v>
      </c>
      <c r="Q86" s="1">
        <f>C86/$C$434</f>
        <v>0</v>
      </c>
      <c r="R86" s="1">
        <f t="shared" si="19"/>
        <v>4.5105808953713848E-3</v>
      </c>
      <c r="S86" s="1">
        <f t="shared" si="23"/>
        <v>4.7863131810312641E-3</v>
      </c>
      <c r="T86" s="1">
        <f t="shared" si="24"/>
        <v>1.2849857446893948E-3</v>
      </c>
      <c r="U86" s="1">
        <f t="shared" si="25"/>
        <v>7.5316998760606348E-3</v>
      </c>
      <c r="V86" s="1">
        <f t="shared" si="26"/>
        <v>4.2848056773675224E-3</v>
      </c>
      <c r="W86" s="1">
        <f t="shared" si="27"/>
        <v>2.7094809440637736E-3</v>
      </c>
      <c r="X86" s="1">
        <f t="shared" si="28"/>
        <v>1.3890372903087936E-3</v>
      </c>
      <c r="Y86" s="1">
        <f t="shared" si="29"/>
        <v>5.1186241138381999E-4</v>
      </c>
      <c r="Z86" s="1">
        <f t="shared" si="20"/>
        <v>6.0901339829476245E-3</v>
      </c>
      <c r="AA86" s="1">
        <f t="shared" si="16"/>
        <v>6.2589189595173126E-4</v>
      </c>
      <c r="AB86" s="1">
        <f t="shared" si="17"/>
        <v>0</v>
      </c>
      <c r="AC86" s="1">
        <f t="shared" si="18"/>
        <v>2.6284462143000118E-3</v>
      </c>
      <c r="AD86" s="1" t="str">
        <f t="shared" si="21"/>
        <v>LUBIN AUTOMOBILES</v>
      </c>
      <c r="AE86" s="1" t="str">
        <f t="shared" si="22"/>
        <v>3017</v>
      </c>
      <c r="AF86" s="3">
        <f>Q86*Feuil2!$B$3</f>
        <v>0</v>
      </c>
      <c r="AG86" s="3">
        <f>R86*Feuil2!$C$3</f>
        <v>159.56143832729111</v>
      </c>
      <c r="AH86" s="3">
        <f>S86*Feuil2!$D$3</f>
        <v>188.09157812553042</v>
      </c>
      <c r="AI86" s="3">
        <f>T86*Feuil2!$E$2</f>
        <v>48.165120668192586</v>
      </c>
      <c r="AJ86" s="3">
        <f>U86*Feuil2!$F$3</f>
        <v>192.42288111354753</v>
      </c>
      <c r="AK86" s="3">
        <f>V86*Feuil2!$G$3</f>
        <v>172.62505138419309</v>
      </c>
      <c r="AL86" s="3">
        <f>W86*Feuil2!$H$3</f>
        <v>98.50989923417977</v>
      </c>
      <c r="AM86" s="3">
        <f>X86*Feuil2!$I$2</f>
        <v>29.672614595576448</v>
      </c>
      <c r="AN86" s="3">
        <f>Y86*Feuil2!$J$3</f>
        <v>21.627640570214727</v>
      </c>
      <c r="AO86" s="3">
        <f>Z86*Feuil2!$K$3</f>
        <v>245.35761266747869</v>
      </c>
      <c r="AP86" s="3">
        <f>AA86*Feuil2!$L$3</f>
        <v>22.755852089227151</v>
      </c>
      <c r="AQ86" s="3">
        <f>AB86*Feuil2!$M$3</f>
        <v>0</v>
      </c>
      <c r="AR86" s="3">
        <f>AC86*Feuil2!$N$3</f>
        <v>1100.4948933345977</v>
      </c>
    </row>
    <row r="87" spans="1:44" x14ac:dyDescent="0.35">
      <c r="A87" t="s">
        <v>177</v>
      </c>
      <c r="B87" t="s">
        <v>178</v>
      </c>
      <c r="C87">
        <v>51</v>
      </c>
      <c r="D87">
        <v>9</v>
      </c>
      <c r="E87">
        <v>182</v>
      </c>
      <c r="F87">
        <v>214</v>
      </c>
      <c r="G87">
        <v>536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992</v>
      </c>
      <c r="Q87" s="1">
        <f>C87/$C$434</f>
        <v>1.2589794860401393E-3</v>
      </c>
      <c r="R87" s="1">
        <f t="shared" si="19"/>
        <v>3.7939465475086417E-4</v>
      </c>
      <c r="S87" s="1">
        <f t="shared" si="23"/>
        <v>6.1780780067212061E-3</v>
      </c>
      <c r="T87" s="1">
        <f t="shared" si="24"/>
        <v>8.5933421676103287E-3</v>
      </c>
      <c r="U87" s="1">
        <f t="shared" si="25"/>
        <v>2.5550576794737344E-2</v>
      </c>
      <c r="V87" s="1">
        <f t="shared" si="26"/>
        <v>0</v>
      </c>
      <c r="W87" s="1">
        <f t="shared" si="27"/>
        <v>0</v>
      </c>
      <c r="X87" s="1">
        <f t="shared" si="28"/>
        <v>0</v>
      </c>
      <c r="Y87" s="1">
        <f t="shared" si="29"/>
        <v>0</v>
      </c>
      <c r="Z87" s="1">
        <f t="shared" si="20"/>
        <v>0</v>
      </c>
      <c r="AA87" s="1">
        <f t="shared" si="16"/>
        <v>0</v>
      </c>
      <c r="AB87" s="1">
        <f t="shared" si="17"/>
        <v>0</v>
      </c>
      <c r="AC87" s="1">
        <f t="shared" si="18"/>
        <v>2.6126439324505126E-3</v>
      </c>
      <c r="AD87" s="1" t="str">
        <f t="shared" si="21"/>
        <v>MGS AUTOMOBILE</v>
      </c>
      <c r="AE87" s="1" t="str">
        <f t="shared" si="22"/>
        <v>3751</v>
      </c>
      <c r="AF87" s="3">
        <f>Q87*Feuil2!$B$3</f>
        <v>44.536298600311042</v>
      </c>
      <c r="AG87" s="3">
        <f>R87*Feuil2!$C$3</f>
        <v>13.42105556023944</v>
      </c>
      <c r="AH87" s="3">
        <f>S87*Feuil2!$D$3</f>
        <v>242.78487389252862</v>
      </c>
      <c r="AI87" s="3">
        <f>T87*Feuil2!$E$2</f>
        <v>322.10424446853796</v>
      </c>
      <c r="AJ87" s="3">
        <f>U87*Feuil2!$F$3</f>
        <v>652.77635618266754</v>
      </c>
      <c r="AK87" s="3">
        <f>V87*Feuil2!$G$3</f>
        <v>0</v>
      </c>
      <c r="AL87" s="3">
        <f>W87*Feuil2!$H$3</f>
        <v>0</v>
      </c>
      <c r="AM87" s="3">
        <f>X87*Feuil2!$I$2</f>
        <v>0</v>
      </c>
      <c r="AN87" s="3">
        <f>Y87*Feuil2!$J$3</f>
        <v>0</v>
      </c>
      <c r="AO87" s="3">
        <f>Z87*Feuil2!$K$3</f>
        <v>0</v>
      </c>
      <c r="AP87" s="3">
        <f>AA87*Feuil2!$L$3</f>
        <v>0</v>
      </c>
      <c r="AQ87" s="3">
        <f>AB87*Feuil2!$M$3</f>
        <v>0</v>
      </c>
      <c r="AR87" s="3">
        <f>AC87*Feuil2!$N$3</f>
        <v>1093.878691571063</v>
      </c>
    </row>
    <row r="88" spans="1:44" x14ac:dyDescent="0.35">
      <c r="A88" t="s">
        <v>179</v>
      </c>
      <c r="B88" t="s">
        <v>180</v>
      </c>
      <c r="C88">
        <v>171</v>
      </c>
      <c r="D88">
        <v>0</v>
      </c>
      <c r="E88">
        <v>118</v>
      </c>
      <c r="F88">
        <v>9</v>
      </c>
      <c r="G88">
        <v>180</v>
      </c>
      <c r="H88">
        <v>0</v>
      </c>
      <c r="I88">
        <v>179</v>
      </c>
      <c r="J88">
        <v>10</v>
      </c>
      <c r="K88">
        <v>66</v>
      </c>
      <c r="L88">
        <v>0</v>
      </c>
      <c r="M88">
        <v>258</v>
      </c>
      <c r="N88">
        <v>0</v>
      </c>
      <c r="O88">
        <v>991</v>
      </c>
      <c r="Q88" s="1">
        <f>C88/$C$434</f>
        <v>4.2212841590757609E-3</v>
      </c>
      <c r="R88" s="1">
        <f t="shared" si="19"/>
        <v>0</v>
      </c>
      <c r="S88" s="1">
        <f t="shared" si="23"/>
        <v>4.0055670593027596E-3</v>
      </c>
      <c r="T88" s="1">
        <f t="shared" si="24"/>
        <v>3.6140224069389231E-4</v>
      </c>
      <c r="U88" s="1">
        <f t="shared" si="25"/>
        <v>8.5804175803222416E-3</v>
      </c>
      <c r="V88" s="1">
        <f t="shared" si="26"/>
        <v>0</v>
      </c>
      <c r="W88" s="1">
        <f t="shared" si="27"/>
        <v>4.0082404048546729E-3</v>
      </c>
      <c r="X88" s="1">
        <f t="shared" si="28"/>
        <v>5.3424511165722831E-4</v>
      </c>
      <c r="Y88" s="1">
        <f t="shared" si="29"/>
        <v>1.6891459575666061E-3</v>
      </c>
      <c r="Z88" s="1">
        <f t="shared" si="20"/>
        <v>0</v>
      </c>
      <c r="AA88" s="1">
        <f t="shared" si="16"/>
        <v>6.4592043662218658E-3</v>
      </c>
      <c r="AB88" s="1">
        <f t="shared" si="17"/>
        <v>0</v>
      </c>
      <c r="AC88" s="1">
        <f t="shared" si="18"/>
        <v>2.6100102188089292E-3</v>
      </c>
      <c r="AD88" s="1" t="str">
        <f t="shared" si="21"/>
        <v>COURSEULLES GARAGE</v>
      </c>
      <c r="AE88" s="1" t="str">
        <f t="shared" si="22"/>
        <v>3009</v>
      </c>
      <c r="AF88" s="3">
        <f>Q88*Feuil2!$B$3</f>
        <v>149.3275894245723</v>
      </c>
      <c r="AG88" s="3">
        <f>R88*Feuil2!$C$3</f>
        <v>0</v>
      </c>
      <c r="AH88" s="3">
        <f>S88*Feuil2!$D$3</f>
        <v>157.40997318306799</v>
      </c>
      <c r="AI88" s="3">
        <f>T88*Feuil2!$E$2</f>
        <v>13.546440187929166</v>
      </c>
      <c r="AJ88" s="3">
        <f>U88*Feuil2!$F$3</f>
        <v>219.21594050910477</v>
      </c>
      <c r="AK88" s="3">
        <f>V88*Feuil2!$G$3</f>
        <v>0</v>
      </c>
      <c r="AL88" s="3">
        <f>W88*Feuil2!$H$3</f>
        <v>145.72952035469569</v>
      </c>
      <c r="AM88" s="3">
        <f>X88*Feuil2!$I$2</f>
        <v>11.412544075221712</v>
      </c>
      <c r="AN88" s="3">
        <f>Y88*Feuil2!$J$3</f>
        <v>71.371213881708599</v>
      </c>
      <c r="AO88" s="3">
        <f>Z88*Feuil2!$K$3</f>
        <v>0</v>
      </c>
      <c r="AP88" s="3">
        <f>AA88*Feuil2!$L$3</f>
        <v>234.8403935608242</v>
      </c>
      <c r="AQ88" s="3">
        <f>AB88*Feuil2!$M$3</f>
        <v>0</v>
      </c>
      <c r="AR88" s="3">
        <f>AC88*Feuil2!$N$3</f>
        <v>1092.7759912771405</v>
      </c>
    </row>
    <row r="89" spans="1:44" x14ac:dyDescent="0.35">
      <c r="A89" t="s">
        <v>181</v>
      </c>
      <c r="B89" t="s">
        <v>182</v>
      </c>
      <c r="C89">
        <v>94</v>
      </c>
      <c r="D89">
        <v>54</v>
      </c>
      <c r="E89">
        <v>39</v>
      </c>
      <c r="F89">
        <v>29</v>
      </c>
      <c r="G89">
        <v>123</v>
      </c>
      <c r="H89">
        <v>64</v>
      </c>
      <c r="I89">
        <v>81</v>
      </c>
      <c r="J89">
        <v>0</v>
      </c>
      <c r="K89">
        <v>335</v>
      </c>
      <c r="L89">
        <v>13</v>
      </c>
      <c r="M89">
        <v>153</v>
      </c>
      <c r="N89">
        <v>0</v>
      </c>
      <c r="O89">
        <v>985</v>
      </c>
      <c r="Q89" s="1">
        <f>C89/$C$434</f>
        <v>2.3204719938779038E-3</v>
      </c>
      <c r="R89" s="1">
        <f t="shared" si="19"/>
        <v>2.2763679285051851E-3</v>
      </c>
      <c r="S89" s="1">
        <f t="shared" si="23"/>
        <v>1.3238738585831156E-3</v>
      </c>
      <c r="T89" s="1">
        <f t="shared" si="24"/>
        <v>1.1645183311247641E-3</v>
      </c>
      <c r="U89" s="1">
        <f t="shared" si="25"/>
        <v>5.8632853465535326E-3</v>
      </c>
      <c r="V89" s="1">
        <f t="shared" si="26"/>
        <v>2.1424028386837612E-3</v>
      </c>
      <c r="W89" s="1">
        <f t="shared" si="27"/>
        <v>1.8137847642079807E-3</v>
      </c>
      <c r="X89" s="1">
        <f t="shared" si="28"/>
        <v>0</v>
      </c>
      <c r="Y89" s="1">
        <f t="shared" si="29"/>
        <v>8.5736953906789849E-3</v>
      </c>
      <c r="Z89" s="1">
        <f t="shared" si="20"/>
        <v>3.2988225740966301E-4</v>
      </c>
      <c r="AA89" s="1">
        <f t="shared" si="16"/>
        <v>3.8304584032245949E-3</v>
      </c>
      <c r="AB89" s="1">
        <f t="shared" si="17"/>
        <v>0</v>
      </c>
      <c r="AC89" s="1">
        <f t="shared" si="18"/>
        <v>2.5942079369594305E-3</v>
      </c>
      <c r="AD89" s="1" t="str">
        <f t="shared" si="21"/>
        <v>THIERS</v>
      </c>
      <c r="AE89" s="1" t="str">
        <f t="shared" si="22"/>
        <v>5009</v>
      </c>
      <c r="AF89" s="3">
        <f>Q89*Feuil2!$B$3</f>
        <v>82.086511145671338</v>
      </c>
      <c r="AG89" s="3">
        <f>R89*Feuil2!$C$3</f>
        <v>80.526333361436642</v>
      </c>
      <c r="AH89" s="3">
        <f>S89*Feuil2!$D$3</f>
        <v>52.025330119827565</v>
      </c>
      <c r="AI89" s="3">
        <f>T89*Feuil2!$E$2</f>
        <v>43.649640605549536</v>
      </c>
      <c r="AJ89" s="3">
        <f>U89*Feuil2!$F$3</f>
        <v>149.79755934788827</v>
      </c>
      <c r="AK89" s="3">
        <f>V89*Feuil2!$G$3</f>
        <v>86.312525692096543</v>
      </c>
      <c r="AL89" s="3">
        <f>W89*Feuil2!$H$3</f>
        <v>65.944643288996375</v>
      </c>
      <c r="AM89" s="3">
        <f>X89*Feuil2!$I$2</f>
        <v>0</v>
      </c>
      <c r="AN89" s="3">
        <f>Y89*Feuil2!$J$3</f>
        <v>362.26297955109669</v>
      </c>
      <c r="AO89" s="3">
        <f>Z89*Feuil2!$K$3</f>
        <v>13.29020401948843</v>
      </c>
      <c r="AP89" s="3">
        <f>AA89*Feuil2!$L$3</f>
        <v>139.26581478607017</v>
      </c>
      <c r="AQ89" s="3">
        <f>AB89*Feuil2!$M$3</f>
        <v>0</v>
      </c>
      <c r="AR89" s="3">
        <f>AC89*Feuil2!$N$3</f>
        <v>1086.159789513606</v>
      </c>
    </row>
    <row r="90" spans="1:44" x14ac:dyDescent="0.35">
      <c r="A90" t="s">
        <v>183</v>
      </c>
      <c r="B90" t="s">
        <v>184</v>
      </c>
      <c r="C90">
        <v>40</v>
      </c>
      <c r="D90">
        <v>20</v>
      </c>
      <c r="E90">
        <v>241</v>
      </c>
      <c r="F90">
        <v>21</v>
      </c>
      <c r="G90">
        <v>0</v>
      </c>
      <c r="H90">
        <v>102</v>
      </c>
      <c r="I90">
        <v>193</v>
      </c>
      <c r="J90">
        <v>0</v>
      </c>
      <c r="K90">
        <v>234</v>
      </c>
      <c r="L90">
        <v>83</v>
      </c>
      <c r="M90">
        <v>34</v>
      </c>
      <c r="N90">
        <v>0</v>
      </c>
      <c r="O90">
        <v>968</v>
      </c>
      <c r="Q90" s="1">
        <f>C90/$C$434</f>
        <v>9.874348910118738E-4</v>
      </c>
      <c r="R90" s="1">
        <f t="shared" si="19"/>
        <v>8.4309923277969812E-4</v>
      </c>
      <c r="S90" s="1">
        <f t="shared" si="23"/>
        <v>8.1808615363725863E-3</v>
      </c>
      <c r="T90" s="1">
        <f t="shared" si="24"/>
        <v>8.4327189495241538E-4</v>
      </c>
      <c r="U90" s="1">
        <f t="shared" si="25"/>
        <v>0</v>
      </c>
      <c r="V90" s="1">
        <f t="shared" si="26"/>
        <v>3.4144545241522445E-3</v>
      </c>
      <c r="W90" s="1">
        <f t="shared" si="27"/>
        <v>4.3217340678042004E-3</v>
      </c>
      <c r="X90" s="1">
        <f t="shared" si="28"/>
        <v>0</v>
      </c>
      <c r="Y90" s="1">
        <f t="shared" si="29"/>
        <v>5.9887902131906942E-3</v>
      </c>
      <c r="Z90" s="1">
        <f t="shared" si="20"/>
        <v>2.1061713357693871E-3</v>
      </c>
      <c r="AA90" s="1">
        <f t="shared" si="16"/>
        <v>8.5121297849435451E-4</v>
      </c>
      <c r="AB90" s="1">
        <f t="shared" si="17"/>
        <v>0</v>
      </c>
      <c r="AC90" s="1">
        <f t="shared" si="18"/>
        <v>2.5494348050525161E-3</v>
      </c>
      <c r="AD90" s="1" t="str">
        <f t="shared" si="21"/>
        <v>LM AUTO</v>
      </c>
      <c r="AE90" s="1" t="str">
        <f t="shared" si="22"/>
        <v>5290</v>
      </c>
      <c r="AF90" s="3">
        <f>Q90*Feuil2!$B$3</f>
        <v>34.930430274753753</v>
      </c>
      <c r="AG90" s="3">
        <f>R90*Feuil2!$C$3</f>
        <v>29.824567911643197</v>
      </c>
      <c r="AH90" s="3">
        <f>S90*Feuil2!$D$3</f>
        <v>321.48986048406266</v>
      </c>
      <c r="AI90" s="3">
        <f>T90*Feuil2!$E$2</f>
        <v>31.608360438501386</v>
      </c>
      <c r="AJ90" s="3">
        <f>U90*Feuil2!$F$3</f>
        <v>0</v>
      </c>
      <c r="AK90" s="3">
        <f>V90*Feuil2!$G$3</f>
        <v>137.56058782177888</v>
      </c>
      <c r="AL90" s="3">
        <f>W90*Feuil2!$H$3</f>
        <v>157.12735993550987</v>
      </c>
      <c r="AM90" s="3">
        <f>X90*Feuil2!$I$2</f>
        <v>0</v>
      </c>
      <c r="AN90" s="3">
        <f>Y90*Feuil2!$J$3</f>
        <v>253.04339467151232</v>
      </c>
      <c r="AO90" s="3">
        <f>Z90*Feuil2!$K$3</f>
        <v>84.852841047503048</v>
      </c>
      <c r="AP90" s="3">
        <f>AA90*Feuil2!$L$3</f>
        <v>30.947958841348928</v>
      </c>
      <c r="AQ90" s="3">
        <f>AB90*Feuil2!$M$3</f>
        <v>0</v>
      </c>
      <c r="AR90" s="3">
        <f>AC90*Feuil2!$N$3</f>
        <v>1067.4138845169243</v>
      </c>
    </row>
    <row r="91" spans="1:44" x14ac:dyDescent="0.35">
      <c r="A91" t="s">
        <v>185</v>
      </c>
      <c r="B91" t="s">
        <v>186</v>
      </c>
      <c r="C91">
        <v>0</v>
      </c>
      <c r="D91">
        <v>146</v>
      </c>
      <c r="E91">
        <v>0</v>
      </c>
      <c r="F91">
        <v>153</v>
      </c>
      <c r="G91">
        <v>126</v>
      </c>
      <c r="H91">
        <v>168</v>
      </c>
      <c r="I91">
        <v>95</v>
      </c>
      <c r="J91">
        <v>0</v>
      </c>
      <c r="K91">
        <v>107</v>
      </c>
      <c r="L91">
        <v>61</v>
      </c>
      <c r="M91">
        <v>107</v>
      </c>
      <c r="N91">
        <v>0</v>
      </c>
      <c r="O91">
        <v>963</v>
      </c>
      <c r="Q91" s="1">
        <f>C91/$C$434</f>
        <v>0</v>
      </c>
      <c r="R91" s="1">
        <f t="shared" si="19"/>
        <v>6.1546243992917967E-3</v>
      </c>
      <c r="S91" s="1">
        <f t="shared" si="23"/>
        <v>0</v>
      </c>
      <c r="T91" s="1">
        <f t="shared" si="24"/>
        <v>6.1438380917961692E-3</v>
      </c>
      <c r="U91" s="1">
        <f t="shared" si="25"/>
        <v>6.00629230622557E-3</v>
      </c>
      <c r="V91" s="1">
        <f t="shared" si="26"/>
        <v>5.6238074515448733E-3</v>
      </c>
      <c r="W91" s="1">
        <f t="shared" si="27"/>
        <v>2.127278427157508E-3</v>
      </c>
      <c r="X91" s="1">
        <f t="shared" si="28"/>
        <v>0</v>
      </c>
      <c r="Y91" s="1">
        <f t="shared" si="29"/>
        <v>2.7384639009034374E-3</v>
      </c>
      <c r="Z91" s="1">
        <f t="shared" si="20"/>
        <v>1.547909053999188E-3</v>
      </c>
      <c r="AA91" s="1">
        <f t="shared" si="16"/>
        <v>2.6788173146734097E-3</v>
      </c>
      <c r="AB91" s="1">
        <f t="shared" si="17"/>
        <v>0</v>
      </c>
      <c r="AC91" s="1">
        <f t="shared" si="18"/>
        <v>2.5362662368446005E-3</v>
      </c>
      <c r="AD91" s="1" t="str">
        <f t="shared" si="21"/>
        <v>EURAUTO</v>
      </c>
      <c r="AE91" s="1" t="str">
        <f t="shared" si="22"/>
        <v>5015</v>
      </c>
      <c r="AF91" s="3">
        <f>Q91*Feuil2!$B$3</f>
        <v>0</v>
      </c>
      <c r="AG91" s="3">
        <f>R91*Feuil2!$C$3</f>
        <v>217.71934575499535</v>
      </c>
      <c r="AH91" s="3">
        <f>S91*Feuil2!$D$3</f>
        <v>0</v>
      </c>
      <c r="AI91" s="3">
        <f>T91*Feuil2!$E$2</f>
        <v>230.28948319479582</v>
      </c>
      <c r="AJ91" s="3">
        <f>U91*Feuil2!$F$3</f>
        <v>153.45115835637336</v>
      </c>
      <c r="AK91" s="3">
        <f>V91*Feuil2!$G$3</f>
        <v>226.57037994175343</v>
      </c>
      <c r="AL91" s="3">
        <f>W91*Feuil2!$H$3</f>
        <v>77.342482869810553</v>
      </c>
      <c r="AM91" s="3">
        <f>X91*Feuil2!$I$2</f>
        <v>0</v>
      </c>
      <c r="AN91" s="3">
        <f>Y91*Feuil2!$J$3</f>
        <v>115.7078770506488</v>
      </c>
      <c r="AO91" s="3">
        <f>Z91*Feuil2!$K$3</f>
        <v>62.361726552984166</v>
      </c>
      <c r="AP91" s="3">
        <f>AA91*Feuil2!$L$3</f>
        <v>97.395046941892204</v>
      </c>
      <c r="AQ91" s="3">
        <f>AB91*Feuil2!$M$3</f>
        <v>0</v>
      </c>
      <c r="AR91" s="3">
        <f>AC91*Feuil2!$N$3</f>
        <v>1061.9003830473123</v>
      </c>
    </row>
    <row r="92" spans="1:44" x14ac:dyDescent="0.35">
      <c r="A92" t="s">
        <v>187</v>
      </c>
      <c r="B92" t="s">
        <v>188</v>
      </c>
      <c r="C92">
        <v>0</v>
      </c>
      <c r="D92">
        <v>262</v>
      </c>
      <c r="E92">
        <v>210</v>
      </c>
      <c r="F92">
        <v>0</v>
      </c>
      <c r="G92">
        <v>0</v>
      </c>
      <c r="H92">
        <v>221</v>
      </c>
      <c r="I92">
        <v>61</v>
      </c>
      <c r="J92">
        <v>0</v>
      </c>
      <c r="K92">
        <v>84</v>
      </c>
      <c r="L92">
        <v>112</v>
      </c>
      <c r="M92">
        <v>0</v>
      </c>
      <c r="N92">
        <v>0</v>
      </c>
      <c r="O92">
        <v>950</v>
      </c>
      <c r="Q92" s="1">
        <f>C92/$C$434</f>
        <v>0</v>
      </c>
      <c r="R92" s="1">
        <f t="shared" si="19"/>
        <v>1.1044599949414046E-2</v>
      </c>
      <c r="S92" s="1">
        <f t="shared" si="23"/>
        <v>7.1285515462167761E-3</v>
      </c>
      <c r="T92" s="1">
        <f t="shared" si="24"/>
        <v>0</v>
      </c>
      <c r="U92" s="1">
        <f t="shared" si="25"/>
        <v>0</v>
      </c>
      <c r="V92" s="1">
        <f t="shared" si="26"/>
        <v>7.3979848023298629E-3</v>
      </c>
      <c r="W92" s="1">
        <f t="shared" si="27"/>
        <v>1.3659366742800841E-3</v>
      </c>
      <c r="X92" s="1">
        <f t="shared" si="28"/>
        <v>0</v>
      </c>
      <c r="Y92" s="1">
        <f t="shared" si="29"/>
        <v>2.149822127812044E-3</v>
      </c>
      <c r="Z92" s="1">
        <f t="shared" si="20"/>
        <v>2.8420625253755584E-3</v>
      </c>
      <c r="AA92" s="1">
        <f t="shared" si="16"/>
        <v>0</v>
      </c>
      <c r="AB92" s="1">
        <f t="shared" si="17"/>
        <v>0</v>
      </c>
      <c r="AC92" s="1">
        <f t="shared" si="18"/>
        <v>2.5020279595040192E-3</v>
      </c>
      <c r="AD92" s="1" t="str">
        <f t="shared" si="21"/>
        <v>CABOURG AUTOMOBILES RENAULT</v>
      </c>
      <c r="AE92" s="1" t="str">
        <f t="shared" si="22"/>
        <v>3386</v>
      </c>
      <c r="AF92" s="3">
        <f>Q92*Feuil2!$B$3</f>
        <v>0</v>
      </c>
      <c r="AG92" s="3">
        <f>R92*Feuil2!$C$3</f>
        <v>390.7018396425259</v>
      </c>
      <c r="AH92" s="3">
        <f>S92*Feuil2!$D$3</f>
        <v>280.13639295291762</v>
      </c>
      <c r="AI92" s="3">
        <f>T92*Feuil2!$E$2</f>
        <v>0</v>
      </c>
      <c r="AJ92" s="3">
        <f>U92*Feuil2!$F$3</f>
        <v>0</v>
      </c>
      <c r="AK92" s="3">
        <f>V92*Feuil2!$G$3</f>
        <v>298.04794028052089</v>
      </c>
      <c r="AL92" s="3">
        <f>W92*Feuil2!$H$3</f>
        <v>49.662015316404677</v>
      </c>
      <c r="AM92" s="3">
        <f>X92*Feuil2!$I$2</f>
        <v>0</v>
      </c>
      <c r="AN92" s="3">
        <f>Y92*Feuil2!$J$3</f>
        <v>90.836090394901845</v>
      </c>
      <c r="AO92" s="3">
        <f>Z92*Feuil2!$K$3</f>
        <v>114.5002192448234</v>
      </c>
      <c r="AP92" s="3">
        <f>AA92*Feuil2!$L$3</f>
        <v>0</v>
      </c>
      <c r="AQ92" s="3">
        <f>AB92*Feuil2!$M$3</f>
        <v>0</v>
      </c>
      <c r="AR92" s="3">
        <f>AC92*Feuil2!$N$3</f>
        <v>1047.5652792263204</v>
      </c>
    </row>
    <row r="93" spans="1:44" x14ac:dyDescent="0.35">
      <c r="A93" t="s">
        <v>189</v>
      </c>
      <c r="B93" t="s">
        <v>190</v>
      </c>
      <c r="C93">
        <v>0</v>
      </c>
      <c r="D93">
        <v>87</v>
      </c>
      <c r="E93">
        <v>282</v>
      </c>
      <c r="F93">
        <v>0</v>
      </c>
      <c r="G93">
        <v>0</v>
      </c>
      <c r="H93">
        <v>0</v>
      </c>
      <c r="I93">
        <v>190</v>
      </c>
      <c r="J93">
        <v>0</v>
      </c>
      <c r="K93">
        <v>72</v>
      </c>
      <c r="L93">
        <v>37</v>
      </c>
      <c r="M93">
        <v>245</v>
      </c>
      <c r="N93">
        <v>0</v>
      </c>
      <c r="O93">
        <v>913</v>
      </c>
      <c r="Q93" s="1">
        <f>C93/$C$434</f>
        <v>0</v>
      </c>
      <c r="R93" s="1">
        <f t="shared" si="19"/>
        <v>3.667481662591687E-3</v>
      </c>
      <c r="S93" s="1">
        <f t="shared" si="23"/>
        <v>9.5726263620625283E-3</v>
      </c>
      <c r="T93" s="1">
        <f t="shared" si="24"/>
        <v>0</v>
      </c>
      <c r="U93" s="1">
        <f t="shared" si="25"/>
        <v>0</v>
      </c>
      <c r="V93" s="1">
        <f t="shared" si="26"/>
        <v>0</v>
      </c>
      <c r="W93" s="1">
        <f t="shared" si="27"/>
        <v>4.2545568543150159E-3</v>
      </c>
      <c r="X93" s="1">
        <f t="shared" si="28"/>
        <v>0</v>
      </c>
      <c r="Y93" s="1">
        <f t="shared" si="29"/>
        <v>1.842704680981752E-3</v>
      </c>
      <c r="Z93" s="1">
        <f t="shared" si="20"/>
        <v>9.3889565570442546E-4</v>
      </c>
      <c r="AA93" s="1">
        <f t="shared" si="16"/>
        <v>6.1337405803269657E-3</v>
      </c>
      <c r="AB93" s="1">
        <f t="shared" si="17"/>
        <v>0</v>
      </c>
      <c r="AC93" s="1">
        <f t="shared" si="18"/>
        <v>2.4045805547654414E-3</v>
      </c>
      <c r="AD93" s="1" t="str">
        <f t="shared" si="21"/>
        <v>GCA DEAUVILLE</v>
      </c>
      <c r="AE93" s="1" t="str">
        <f t="shared" si="22"/>
        <v>5295</v>
      </c>
      <c r="AF93" s="3">
        <f>Q93*Feuil2!$B$3</f>
        <v>0</v>
      </c>
      <c r="AG93" s="3">
        <f>R93*Feuil2!$C$3</f>
        <v>129.73687041564793</v>
      </c>
      <c r="AH93" s="3">
        <f>S93*Feuil2!$D$3</f>
        <v>376.18315625106084</v>
      </c>
      <c r="AI93" s="3">
        <f>T93*Feuil2!$E$2</f>
        <v>0</v>
      </c>
      <c r="AJ93" s="3">
        <f>U93*Feuil2!$F$3</f>
        <v>0</v>
      </c>
      <c r="AK93" s="3">
        <f>V93*Feuil2!$G$3</f>
        <v>0</v>
      </c>
      <c r="AL93" s="3">
        <f>W93*Feuil2!$H$3</f>
        <v>154.68496573962111</v>
      </c>
      <c r="AM93" s="3">
        <f>X93*Feuil2!$I$2</f>
        <v>0</v>
      </c>
      <c r="AN93" s="3">
        <f>Y93*Feuil2!$J$3</f>
        <v>77.859506052773014</v>
      </c>
      <c r="AO93" s="3">
        <f>Z93*Feuil2!$K$3</f>
        <v>37.825965286236297</v>
      </c>
      <c r="AP93" s="3">
        <f>AA93*Feuil2!$L$3</f>
        <v>223.00735047442606</v>
      </c>
      <c r="AQ93" s="3">
        <f>AB93*Feuil2!$M$3</f>
        <v>0</v>
      </c>
      <c r="AR93" s="3">
        <f>AC93*Feuil2!$N$3</f>
        <v>1006.76536835119</v>
      </c>
    </row>
    <row r="94" spans="1:44" x14ac:dyDescent="0.35">
      <c r="A94" t="s">
        <v>191</v>
      </c>
      <c r="B94" t="s">
        <v>192</v>
      </c>
      <c r="C94">
        <v>61</v>
      </c>
      <c r="D94">
        <v>64</v>
      </c>
      <c r="E94">
        <v>86</v>
      </c>
      <c r="F94">
        <v>64</v>
      </c>
      <c r="G94">
        <v>35</v>
      </c>
      <c r="H94">
        <v>82</v>
      </c>
      <c r="I94">
        <v>202</v>
      </c>
      <c r="J94">
        <v>0</v>
      </c>
      <c r="K94">
        <v>208</v>
      </c>
      <c r="L94">
        <v>31</v>
      </c>
      <c r="M94">
        <v>78</v>
      </c>
      <c r="N94">
        <v>0</v>
      </c>
      <c r="O94">
        <v>911</v>
      </c>
      <c r="Q94" s="1">
        <f>C94/$C$434</f>
        <v>1.5058382087931076E-3</v>
      </c>
      <c r="R94" s="1">
        <f t="shared" si="19"/>
        <v>2.6979175448950342E-3</v>
      </c>
      <c r="S94" s="1">
        <f t="shared" si="23"/>
        <v>2.9193115855935367E-3</v>
      </c>
      <c r="T94" s="1">
        <f t="shared" si="24"/>
        <v>2.5699714893787895E-3</v>
      </c>
      <c r="U94" s="1">
        <f t="shared" si="25"/>
        <v>1.6684145295071027E-3</v>
      </c>
      <c r="V94" s="1">
        <f t="shared" si="26"/>
        <v>2.7449536370635691E-3</v>
      </c>
      <c r="W94" s="1">
        <f t="shared" si="27"/>
        <v>4.523265708271754E-3</v>
      </c>
      <c r="X94" s="1">
        <f t="shared" si="28"/>
        <v>0</v>
      </c>
      <c r="Y94" s="1">
        <f t="shared" si="29"/>
        <v>5.3233690783917285E-3</v>
      </c>
      <c r="Z94" s="1">
        <f t="shared" si="20"/>
        <v>7.8664230613073485E-4</v>
      </c>
      <c r="AA94" s="1">
        <f t="shared" si="16"/>
        <v>1.9527827153694014E-3</v>
      </c>
      <c r="AB94" s="1">
        <f t="shared" si="17"/>
        <v>0</v>
      </c>
      <c r="AC94" s="1">
        <f t="shared" si="18"/>
        <v>2.3993131274822753E-3</v>
      </c>
      <c r="AD94" s="1" t="str">
        <f t="shared" si="21"/>
        <v>BRIAND AUTOMOBILES</v>
      </c>
      <c r="AE94" s="1" t="str">
        <f t="shared" si="22"/>
        <v>402206</v>
      </c>
      <c r="AF94" s="3">
        <f>Q94*Feuil2!$B$3</f>
        <v>53.268906168999479</v>
      </c>
      <c r="AG94" s="3">
        <f>R94*Feuil2!$C$3</f>
        <v>95.438617317258235</v>
      </c>
      <c r="AH94" s="3">
        <f>S94*Feuil2!$D$3</f>
        <v>114.7225228283377</v>
      </c>
      <c r="AI94" s="3">
        <f>T94*Feuil2!$E$2</f>
        <v>96.330241336385171</v>
      </c>
      <c r="AJ94" s="3">
        <f>U94*Feuil2!$F$3</f>
        <v>42.625321765659265</v>
      </c>
      <c r="AK94" s="3">
        <f>V94*Feuil2!$G$3</f>
        <v>110.58792354299869</v>
      </c>
      <c r="AL94" s="3">
        <f>W94*Feuil2!$H$3</f>
        <v>164.45454252317614</v>
      </c>
      <c r="AM94" s="3">
        <f>X94*Feuil2!$I$2</f>
        <v>0</v>
      </c>
      <c r="AN94" s="3">
        <f>Y94*Feuil2!$J$3</f>
        <v>224.92746193023319</v>
      </c>
      <c r="AO94" s="3">
        <f>Z94*Feuil2!$K$3</f>
        <v>31.69202496954933</v>
      </c>
      <c r="AP94" s="3">
        <f>AA94*Feuil2!$L$3</f>
        <v>70.99825851838871</v>
      </c>
      <c r="AQ94" s="3">
        <f>AB94*Feuil2!$M$3</f>
        <v>0</v>
      </c>
      <c r="AR94" s="3">
        <f>AC94*Feuil2!$N$3</f>
        <v>1004.5599677633452</v>
      </c>
    </row>
    <row r="95" spans="1:44" x14ac:dyDescent="0.35">
      <c r="A95" t="s">
        <v>193</v>
      </c>
      <c r="B95" t="s">
        <v>194</v>
      </c>
      <c r="C95">
        <v>0</v>
      </c>
      <c r="D95">
        <v>115</v>
      </c>
      <c r="E95">
        <v>116</v>
      </c>
      <c r="F95">
        <v>14</v>
      </c>
      <c r="G95">
        <v>207</v>
      </c>
      <c r="H95">
        <v>135</v>
      </c>
      <c r="I95">
        <v>0</v>
      </c>
      <c r="J95">
        <v>0</v>
      </c>
      <c r="K95">
        <v>166</v>
      </c>
      <c r="L95">
        <v>37</v>
      </c>
      <c r="M95">
        <v>112</v>
      </c>
      <c r="N95">
        <v>0</v>
      </c>
      <c r="O95">
        <v>902</v>
      </c>
      <c r="Q95" s="1">
        <f>C95/$C$434</f>
        <v>0</v>
      </c>
      <c r="R95" s="1">
        <f t="shared" si="19"/>
        <v>4.8478205884832648E-3</v>
      </c>
      <c r="S95" s="1">
        <f t="shared" si="23"/>
        <v>3.9376760921959334E-3</v>
      </c>
      <c r="T95" s="1">
        <f t="shared" si="24"/>
        <v>5.6218126330161025E-4</v>
      </c>
      <c r="U95" s="1">
        <f t="shared" si="25"/>
        <v>9.8674802173705795E-3</v>
      </c>
      <c r="V95" s="1">
        <f t="shared" si="26"/>
        <v>4.5191309878485587E-3</v>
      </c>
      <c r="W95" s="1">
        <f t="shared" si="27"/>
        <v>0</v>
      </c>
      <c r="X95" s="1">
        <f t="shared" si="28"/>
        <v>0</v>
      </c>
      <c r="Y95" s="1">
        <f t="shared" si="29"/>
        <v>4.2484580144857061E-3</v>
      </c>
      <c r="Z95" s="1">
        <f t="shared" si="20"/>
        <v>9.3889565570442546E-4</v>
      </c>
      <c r="AA95" s="1">
        <f t="shared" si="16"/>
        <v>2.803995693863756E-3</v>
      </c>
      <c r="AB95" s="1">
        <f t="shared" si="17"/>
        <v>0</v>
      </c>
      <c r="AC95" s="1">
        <f t="shared" si="18"/>
        <v>2.3756097047080266E-3</v>
      </c>
      <c r="AD95" s="1" t="str">
        <f t="shared" si="21"/>
        <v>MP AUTOMOBILES</v>
      </c>
      <c r="AE95" s="1" t="str">
        <f t="shared" si="22"/>
        <v>5017</v>
      </c>
      <c r="AF95" s="3">
        <f>Q95*Feuil2!$B$3</f>
        <v>0</v>
      </c>
      <c r="AG95" s="3">
        <f>R95*Feuil2!$C$3</f>
        <v>171.49126549194841</v>
      </c>
      <c r="AH95" s="3">
        <f>S95*Feuil2!$D$3</f>
        <v>154.74200753589736</v>
      </c>
      <c r="AI95" s="3">
        <f>T95*Feuil2!$E$2</f>
        <v>21.072240292334257</v>
      </c>
      <c r="AJ95" s="3">
        <f>U95*Feuil2!$F$3</f>
        <v>252.09833158547053</v>
      </c>
      <c r="AK95" s="3">
        <f>V95*Feuil2!$G$3</f>
        <v>182.06548388176614</v>
      </c>
      <c r="AL95" s="3">
        <f>W95*Feuil2!$H$3</f>
        <v>0</v>
      </c>
      <c r="AM95" s="3">
        <f>X95*Feuil2!$I$2</f>
        <v>0</v>
      </c>
      <c r="AN95" s="3">
        <f>Y95*Feuil2!$J$3</f>
        <v>179.50941673278223</v>
      </c>
      <c r="AO95" s="3">
        <f>Z95*Feuil2!$K$3</f>
        <v>37.825965286236297</v>
      </c>
      <c r="AP95" s="3">
        <f>AA95*Feuil2!$L$3</f>
        <v>101.94621735973764</v>
      </c>
      <c r="AQ95" s="3">
        <f>AB95*Feuil2!$M$3</f>
        <v>0</v>
      </c>
      <c r="AR95" s="3">
        <f>AC95*Feuil2!$N$3</f>
        <v>994.63566511804322</v>
      </c>
    </row>
    <row r="96" spans="1:44" x14ac:dyDescent="0.35">
      <c r="A96" t="s">
        <v>195</v>
      </c>
      <c r="B96" t="s">
        <v>196</v>
      </c>
      <c r="C96">
        <v>99</v>
      </c>
      <c r="D96">
        <v>0</v>
      </c>
      <c r="E96">
        <v>214</v>
      </c>
      <c r="F96">
        <v>94</v>
      </c>
      <c r="G96">
        <v>180</v>
      </c>
      <c r="H96">
        <v>182</v>
      </c>
      <c r="I96">
        <v>131</v>
      </c>
      <c r="J96">
        <v>0</v>
      </c>
      <c r="K96">
        <v>0</v>
      </c>
      <c r="L96">
        <v>0</v>
      </c>
      <c r="M96">
        <v>0</v>
      </c>
      <c r="N96">
        <v>0</v>
      </c>
      <c r="O96">
        <v>900</v>
      </c>
      <c r="Q96" s="1">
        <f>C96/$C$434</f>
        <v>2.443901355254388E-3</v>
      </c>
      <c r="R96" s="1">
        <f t="shared" si="19"/>
        <v>0</v>
      </c>
      <c r="S96" s="1">
        <f t="shared" si="23"/>
        <v>7.2643334804304285E-3</v>
      </c>
      <c r="T96" s="1">
        <f t="shared" si="24"/>
        <v>3.7746456250250973E-3</v>
      </c>
      <c r="U96" s="1">
        <f t="shared" si="25"/>
        <v>8.5804175803222416E-3</v>
      </c>
      <c r="V96" s="1">
        <f t="shared" si="26"/>
        <v>6.092458072506946E-3</v>
      </c>
      <c r="W96" s="1">
        <f t="shared" si="27"/>
        <v>2.9334049890277218E-3</v>
      </c>
      <c r="X96" s="1">
        <f t="shared" si="28"/>
        <v>0</v>
      </c>
      <c r="Y96" s="1">
        <f t="shared" si="29"/>
        <v>0</v>
      </c>
      <c r="Z96" s="1">
        <f t="shared" si="20"/>
        <v>0</v>
      </c>
      <c r="AA96" s="1">
        <f t="shared" si="16"/>
        <v>0</v>
      </c>
      <c r="AB96" s="1">
        <f t="shared" si="17"/>
        <v>0</v>
      </c>
      <c r="AC96" s="1">
        <f t="shared" si="18"/>
        <v>2.3703422774248601E-3</v>
      </c>
      <c r="AD96" s="1" t="str">
        <f t="shared" si="21"/>
        <v>ALETHEIA</v>
      </c>
      <c r="AE96" s="1" t="str">
        <f t="shared" si="22"/>
        <v>151843</v>
      </c>
      <c r="AF96" s="3">
        <f>Q96*Feuil2!$B$3</f>
        <v>86.452814930015549</v>
      </c>
      <c r="AG96" s="3">
        <f>R96*Feuil2!$C$3</f>
        <v>0</v>
      </c>
      <c r="AH96" s="3">
        <f>S96*Feuil2!$D$3</f>
        <v>285.47232424725894</v>
      </c>
      <c r="AI96" s="3">
        <f>T96*Feuil2!$E$2</f>
        <v>141.48504196281573</v>
      </c>
      <c r="AJ96" s="3">
        <f>U96*Feuil2!$F$3</f>
        <v>219.21594050910477</v>
      </c>
      <c r="AK96" s="3">
        <f>V96*Feuil2!$G$3</f>
        <v>245.45124493689954</v>
      </c>
      <c r="AL96" s="3">
        <f>W96*Feuil2!$H$3</f>
        <v>106.65121322047563</v>
      </c>
      <c r="AM96" s="3">
        <f>X96*Feuil2!$I$2</f>
        <v>0</v>
      </c>
      <c r="AN96" s="3">
        <f>Y96*Feuil2!$J$3</f>
        <v>0</v>
      </c>
      <c r="AO96" s="3">
        <f>Z96*Feuil2!$K$3</f>
        <v>0</v>
      </c>
      <c r="AP96" s="3">
        <f>AA96*Feuil2!$L$3</f>
        <v>0</v>
      </c>
      <c r="AQ96" s="3">
        <f>AB96*Feuil2!$M$3</f>
        <v>0</v>
      </c>
      <c r="AR96" s="3">
        <f>AC96*Feuil2!$N$3</f>
        <v>992.4302645301982</v>
      </c>
    </row>
    <row r="97" spans="1:44" x14ac:dyDescent="0.35">
      <c r="A97" t="s">
        <v>197</v>
      </c>
      <c r="B97" t="s">
        <v>198</v>
      </c>
      <c r="C97">
        <v>24</v>
      </c>
      <c r="D97">
        <v>0</v>
      </c>
      <c r="E97">
        <v>27</v>
      </c>
      <c r="F97">
        <v>110</v>
      </c>
      <c r="G97">
        <v>46</v>
      </c>
      <c r="H97">
        <v>28</v>
      </c>
      <c r="I97">
        <v>71</v>
      </c>
      <c r="J97">
        <v>0</v>
      </c>
      <c r="K97">
        <v>86</v>
      </c>
      <c r="L97">
        <v>503</v>
      </c>
      <c r="M97">
        <v>0</v>
      </c>
      <c r="N97">
        <v>0</v>
      </c>
      <c r="O97">
        <v>895</v>
      </c>
      <c r="Q97" s="1">
        <f>C97/$C$434</f>
        <v>5.9246093460712439E-4</v>
      </c>
      <c r="R97" s="1">
        <f t="shared" si="19"/>
        <v>0</v>
      </c>
      <c r="S97" s="1">
        <f t="shared" si="23"/>
        <v>9.1652805594215694E-4</v>
      </c>
      <c r="T97" s="1">
        <f t="shared" si="24"/>
        <v>4.4171384973697948E-3</v>
      </c>
      <c r="U97" s="1">
        <f t="shared" si="25"/>
        <v>2.1927733816379065E-3</v>
      </c>
      <c r="V97" s="1">
        <f t="shared" si="26"/>
        <v>9.3730124192414551E-4</v>
      </c>
      <c r="W97" s="1">
        <f t="shared" si="27"/>
        <v>1.5898607192440324E-3</v>
      </c>
      <c r="X97" s="1">
        <f t="shared" si="28"/>
        <v>0</v>
      </c>
      <c r="Y97" s="1">
        <f t="shared" si="29"/>
        <v>2.2010083689504262E-3</v>
      </c>
      <c r="Z97" s="1">
        <f t="shared" si="20"/>
        <v>1.276390580592773E-2</v>
      </c>
      <c r="AA97" s="1">
        <f t="shared" si="16"/>
        <v>0</v>
      </c>
      <c r="AB97" s="1">
        <f t="shared" si="17"/>
        <v>0</v>
      </c>
      <c r="AC97" s="1">
        <f t="shared" si="18"/>
        <v>2.3571737092169445E-3</v>
      </c>
      <c r="AD97" s="1" t="str">
        <f t="shared" si="21"/>
        <v>JOIGNEAUX PATTE</v>
      </c>
      <c r="AE97" s="1" t="str">
        <f t="shared" si="22"/>
        <v>5154</v>
      </c>
      <c r="AF97" s="3">
        <f>Q97*Feuil2!$B$3</f>
        <v>20.958258164852257</v>
      </c>
      <c r="AG97" s="3">
        <f>R97*Feuil2!$C$3</f>
        <v>0</v>
      </c>
      <c r="AH97" s="3">
        <f>S97*Feuil2!$D$3</f>
        <v>36.0175362368037</v>
      </c>
      <c r="AI97" s="3">
        <f>T97*Feuil2!$E$2</f>
        <v>165.56760229691201</v>
      </c>
      <c r="AJ97" s="3">
        <f>U97*Feuil2!$F$3</f>
        <v>56.021851463437891</v>
      </c>
      <c r="AK97" s="3">
        <f>V97*Feuil2!$G$3</f>
        <v>37.761729990292238</v>
      </c>
      <c r="AL97" s="3">
        <f>W97*Feuil2!$H$3</f>
        <v>57.803329302700526</v>
      </c>
      <c r="AM97" s="3">
        <f>X97*Feuil2!$I$2</f>
        <v>0</v>
      </c>
      <c r="AN97" s="3">
        <f>Y97*Feuil2!$J$3</f>
        <v>92.998854451923336</v>
      </c>
      <c r="AO97" s="3">
        <f>Z97*Feuil2!$K$3</f>
        <v>514.2286632155907</v>
      </c>
      <c r="AP97" s="3">
        <f>AA97*Feuil2!$L$3</f>
        <v>0</v>
      </c>
      <c r="AQ97" s="3">
        <f>AB97*Feuil2!$M$3</f>
        <v>0</v>
      </c>
      <c r="AR97" s="3">
        <f>AC97*Feuil2!$N$3</f>
        <v>986.91676306058616</v>
      </c>
    </row>
    <row r="98" spans="1:44" x14ac:dyDescent="0.35">
      <c r="A98" t="s">
        <v>199</v>
      </c>
      <c r="B98" t="s">
        <v>200</v>
      </c>
      <c r="C98">
        <v>181</v>
      </c>
      <c r="D98">
        <v>24</v>
      </c>
      <c r="E98">
        <v>92</v>
      </c>
      <c r="F98">
        <v>164</v>
      </c>
      <c r="G98">
        <v>34</v>
      </c>
      <c r="H98">
        <v>170</v>
      </c>
      <c r="I98">
        <v>214</v>
      </c>
      <c r="J98">
        <v>5</v>
      </c>
      <c r="K98">
        <v>0</v>
      </c>
      <c r="L98">
        <v>0</v>
      </c>
      <c r="M98">
        <v>0</v>
      </c>
      <c r="N98">
        <v>0</v>
      </c>
      <c r="O98">
        <v>884</v>
      </c>
      <c r="Q98" s="1">
        <f>C98/$C$434</f>
        <v>4.4681428818287294E-3</v>
      </c>
      <c r="R98" s="1">
        <f t="shared" si="19"/>
        <v>1.0117190793356378E-3</v>
      </c>
      <c r="S98" s="1">
        <f t="shared" si="23"/>
        <v>3.1229844869140161E-3</v>
      </c>
      <c r="T98" s="1">
        <f t="shared" si="24"/>
        <v>6.5855519415331486E-3</v>
      </c>
      <c r="U98" s="1">
        <f t="shared" si="25"/>
        <v>1.6207455429497568E-3</v>
      </c>
      <c r="V98" s="1">
        <f t="shared" si="26"/>
        <v>5.6907575402537405E-3</v>
      </c>
      <c r="W98" s="1">
        <f t="shared" si="27"/>
        <v>4.7919745622284921E-3</v>
      </c>
      <c r="X98" s="1">
        <f t="shared" si="28"/>
        <v>2.6712255582861415E-4</v>
      </c>
      <c r="Y98" s="1">
        <f t="shared" si="29"/>
        <v>0</v>
      </c>
      <c r="Z98" s="1">
        <f t="shared" si="20"/>
        <v>0</v>
      </c>
      <c r="AA98" s="1">
        <f t="shared" si="16"/>
        <v>0</v>
      </c>
      <c r="AB98" s="1">
        <f t="shared" si="17"/>
        <v>0</v>
      </c>
      <c r="AC98" s="1">
        <f t="shared" si="18"/>
        <v>2.3282028591595292E-3</v>
      </c>
      <c r="AD98" s="1" t="str">
        <f t="shared" si="21"/>
        <v>BESSIN AUTOMOBILES</v>
      </c>
      <c r="AE98" s="1" t="str">
        <f t="shared" si="22"/>
        <v>2165</v>
      </c>
      <c r="AF98" s="3">
        <f>Q98*Feuil2!$B$3</f>
        <v>158.06019699326075</v>
      </c>
      <c r="AG98" s="3">
        <f>R98*Feuil2!$C$3</f>
        <v>35.789481493971842</v>
      </c>
      <c r="AH98" s="3">
        <f>S98*Feuil2!$D$3</f>
        <v>122.72641976984963</v>
      </c>
      <c r="AI98" s="3">
        <f>T98*Feuil2!$E$2</f>
        <v>246.846243424487</v>
      </c>
      <c r="AJ98" s="3">
        <f>U98*Feuil2!$F$3</f>
        <v>41.407455429497567</v>
      </c>
      <c r="AK98" s="3">
        <f>V98*Feuil2!$G$3</f>
        <v>229.26764636963142</v>
      </c>
      <c r="AL98" s="3">
        <f>W98*Feuil2!$H$3</f>
        <v>174.22411930673118</v>
      </c>
      <c r="AM98" s="3">
        <f>X98*Feuil2!$I$2</f>
        <v>5.706272037610856</v>
      </c>
      <c r="AN98" s="3">
        <f>Y98*Feuil2!$J$3</f>
        <v>0</v>
      </c>
      <c r="AO98" s="3">
        <f>Z98*Feuil2!$K$3</f>
        <v>0</v>
      </c>
      <c r="AP98" s="3">
        <f>AA98*Feuil2!$L$3</f>
        <v>0</v>
      </c>
      <c r="AQ98" s="3">
        <f>AB98*Feuil2!$M$3</f>
        <v>0</v>
      </c>
      <c r="AR98" s="3">
        <f>AC98*Feuil2!$N$3</f>
        <v>974.78705982743918</v>
      </c>
    </row>
    <row r="99" spans="1:44" x14ac:dyDescent="0.35">
      <c r="A99" t="s">
        <v>201</v>
      </c>
      <c r="B99" t="s">
        <v>202</v>
      </c>
      <c r="C99">
        <v>145</v>
      </c>
      <c r="D99">
        <v>431</v>
      </c>
      <c r="E99">
        <v>-116</v>
      </c>
      <c r="F99">
        <v>0</v>
      </c>
      <c r="G99">
        <v>116</v>
      </c>
      <c r="H99">
        <v>49</v>
      </c>
      <c r="I99">
        <v>0</v>
      </c>
      <c r="J99">
        <v>136</v>
      </c>
      <c r="K99">
        <v>0</v>
      </c>
      <c r="L99">
        <v>120</v>
      </c>
      <c r="M99">
        <v>0</v>
      </c>
      <c r="N99">
        <v>0</v>
      </c>
      <c r="O99">
        <v>881</v>
      </c>
      <c r="Q99" s="1">
        <f>C99/$C$434</f>
        <v>3.5794514799180428E-3</v>
      </c>
      <c r="R99" s="1">
        <f t="shared" si="19"/>
        <v>1.8168788466402495E-2</v>
      </c>
      <c r="S99" s="1">
        <f t="shared" si="23"/>
        <v>-3.9376760921959334E-3</v>
      </c>
      <c r="T99" s="1">
        <f t="shared" si="24"/>
        <v>0</v>
      </c>
      <c r="U99" s="1">
        <f t="shared" si="25"/>
        <v>5.5296024406521118E-3</v>
      </c>
      <c r="V99" s="1">
        <f t="shared" si="26"/>
        <v>1.6402771733672547E-3</v>
      </c>
      <c r="W99" s="1">
        <f t="shared" si="27"/>
        <v>0</v>
      </c>
      <c r="X99" s="1">
        <f t="shared" si="28"/>
        <v>7.2657335185383051E-3</v>
      </c>
      <c r="Y99" s="1">
        <f t="shared" si="29"/>
        <v>0</v>
      </c>
      <c r="Z99" s="1">
        <f t="shared" si="20"/>
        <v>3.0450669914738123E-3</v>
      </c>
      <c r="AA99" s="1">
        <f t="shared" si="16"/>
        <v>0</v>
      </c>
      <c r="AB99" s="1">
        <f t="shared" si="17"/>
        <v>0</v>
      </c>
      <c r="AC99" s="1">
        <f t="shared" si="18"/>
        <v>2.3203017182347797E-3</v>
      </c>
      <c r="AD99" s="1" t="str">
        <f t="shared" si="21"/>
        <v>DE LA COLLINE</v>
      </c>
      <c r="AE99" s="1" t="str">
        <f t="shared" si="22"/>
        <v>3160</v>
      </c>
      <c r="AF99" s="3">
        <f>Q99*Feuil2!$B$3</f>
        <v>126.62280974598237</v>
      </c>
      <c r="AG99" s="3">
        <f>R99*Feuil2!$C$3</f>
        <v>642.71943849591094</v>
      </c>
      <c r="AH99" s="3">
        <f>S99*Feuil2!$D$3</f>
        <v>-154.74200753589736</v>
      </c>
      <c r="AI99" s="3">
        <f>T99*Feuil2!$E$2</f>
        <v>0</v>
      </c>
      <c r="AJ99" s="3">
        <f>U99*Feuil2!$F$3</f>
        <v>141.27249499475641</v>
      </c>
      <c r="AK99" s="3">
        <f>V99*Feuil2!$G$3</f>
        <v>66.083027483011421</v>
      </c>
      <c r="AL99" s="3">
        <f>W99*Feuil2!$H$3</f>
        <v>0</v>
      </c>
      <c r="AM99" s="3">
        <f>X99*Feuil2!$I$2</f>
        <v>155.21059942301528</v>
      </c>
      <c r="AN99" s="3">
        <f>Y99*Feuil2!$J$3</f>
        <v>0</v>
      </c>
      <c r="AO99" s="3">
        <f>Z99*Feuil2!$K$3</f>
        <v>122.67880633373935</v>
      </c>
      <c r="AP99" s="3">
        <f>AA99*Feuil2!$L$3</f>
        <v>0</v>
      </c>
      <c r="AQ99" s="3">
        <f>AB99*Feuil2!$M$3</f>
        <v>0</v>
      </c>
      <c r="AR99" s="3">
        <f>AC99*Feuil2!$N$3</f>
        <v>971.47895894567182</v>
      </c>
    </row>
    <row r="100" spans="1:44" x14ac:dyDescent="0.35">
      <c r="A100" t="s">
        <v>203</v>
      </c>
      <c r="B100" t="s">
        <v>204</v>
      </c>
      <c r="C100">
        <v>45</v>
      </c>
      <c r="D100">
        <v>70</v>
      </c>
      <c r="E100">
        <v>118</v>
      </c>
      <c r="F100">
        <v>83</v>
      </c>
      <c r="G100">
        <v>48</v>
      </c>
      <c r="H100">
        <v>179</v>
      </c>
      <c r="I100">
        <v>66</v>
      </c>
      <c r="J100">
        <v>59</v>
      </c>
      <c r="K100">
        <v>80</v>
      </c>
      <c r="L100">
        <v>44</v>
      </c>
      <c r="M100">
        <v>88</v>
      </c>
      <c r="N100">
        <v>0</v>
      </c>
      <c r="O100">
        <v>880</v>
      </c>
      <c r="Q100" s="1">
        <f>C100/$C$434</f>
        <v>1.1108642523883581E-3</v>
      </c>
      <c r="R100" s="1">
        <f t="shared" si="19"/>
        <v>2.9508473147289438E-3</v>
      </c>
      <c r="S100" s="1">
        <f t="shared" si="23"/>
        <v>4.0055670593027596E-3</v>
      </c>
      <c r="T100" s="1">
        <f t="shared" si="24"/>
        <v>3.3329317752881179E-3</v>
      </c>
      <c r="U100" s="1">
        <f t="shared" si="25"/>
        <v>2.2881113547525977E-3</v>
      </c>
      <c r="V100" s="1">
        <f t="shared" si="26"/>
        <v>5.9920329394436448E-3</v>
      </c>
      <c r="W100" s="1">
        <f t="shared" si="27"/>
        <v>1.4778986967620583E-3</v>
      </c>
      <c r="X100" s="1">
        <f t="shared" si="28"/>
        <v>3.1520461587776472E-3</v>
      </c>
      <c r="Y100" s="1">
        <f t="shared" si="29"/>
        <v>2.04744964553528E-3</v>
      </c>
      <c r="Z100" s="1">
        <f t="shared" si="20"/>
        <v>1.116524563540398E-3</v>
      </c>
      <c r="AA100" s="1">
        <f t="shared" si="16"/>
        <v>2.2031394737500941E-3</v>
      </c>
      <c r="AB100" s="1">
        <f t="shared" si="17"/>
        <v>0</v>
      </c>
      <c r="AC100" s="1">
        <f t="shared" si="18"/>
        <v>2.3176680045931966E-3</v>
      </c>
      <c r="AD100" s="1" t="str">
        <f t="shared" si="21"/>
        <v>ADE</v>
      </c>
      <c r="AE100" s="1" t="str">
        <f t="shared" si="22"/>
        <v>5173</v>
      </c>
      <c r="AF100" s="3">
        <f>Q100*Feuil2!$B$3</f>
        <v>39.296734059097972</v>
      </c>
      <c r="AG100" s="3">
        <f>R100*Feuil2!$C$3</f>
        <v>104.38598769075121</v>
      </c>
      <c r="AH100" s="3">
        <f>S100*Feuil2!$D$3</f>
        <v>157.40997318306799</v>
      </c>
      <c r="AI100" s="3">
        <f>T100*Feuil2!$E$2</f>
        <v>124.92828173312452</v>
      </c>
      <c r="AJ100" s="3">
        <f>U100*Feuil2!$F$3</f>
        <v>58.457584135761273</v>
      </c>
      <c r="AK100" s="3">
        <f>V100*Feuil2!$G$3</f>
        <v>241.40534529508253</v>
      </c>
      <c r="AL100" s="3">
        <f>W100*Feuil2!$H$3</f>
        <v>53.732672309552605</v>
      </c>
      <c r="AM100" s="3">
        <f>X100*Feuil2!$I$2</f>
        <v>67.334010043808107</v>
      </c>
      <c r="AN100" s="3">
        <f>Y100*Feuil2!$J$3</f>
        <v>86.510562280858906</v>
      </c>
      <c r="AO100" s="3">
        <f>Z100*Feuil2!$K$3</f>
        <v>44.982228989037765</v>
      </c>
      <c r="AP100" s="3">
        <f>AA100*Feuil2!$L$3</f>
        <v>80.100599354079577</v>
      </c>
      <c r="AQ100" s="3">
        <f>AB100*Feuil2!$M$3</f>
        <v>0</v>
      </c>
      <c r="AR100" s="3">
        <f>AC100*Feuil2!$N$3</f>
        <v>970.37625865174948</v>
      </c>
    </row>
    <row r="101" spans="1:44" x14ac:dyDescent="0.35">
      <c r="A101" t="s">
        <v>205</v>
      </c>
      <c r="B101" t="s">
        <v>206</v>
      </c>
      <c r="C101">
        <v>0</v>
      </c>
      <c r="D101">
        <v>0</v>
      </c>
      <c r="E101">
        <v>133</v>
      </c>
      <c r="F101">
        <v>0</v>
      </c>
      <c r="G101">
        <v>0</v>
      </c>
      <c r="H101">
        <v>295</v>
      </c>
      <c r="I101">
        <v>191</v>
      </c>
      <c r="J101">
        <v>0</v>
      </c>
      <c r="K101">
        <v>54</v>
      </c>
      <c r="L101">
        <v>0</v>
      </c>
      <c r="M101">
        <v>198</v>
      </c>
      <c r="N101">
        <v>0</v>
      </c>
      <c r="O101">
        <v>871</v>
      </c>
      <c r="Q101" s="1">
        <f>C101/$C$434</f>
        <v>0</v>
      </c>
      <c r="R101" s="1">
        <f t="shared" si="19"/>
        <v>0</v>
      </c>
      <c r="S101" s="1">
        <f t="shared" si="23"/>
        <v>4.5147493126039577E-3</v>
      </c>
      <c r="T101" s="1">
        <f t="shared" si="24"/>
        <v>0</v>
      </c>
      <c r="U101" s="1">
        <f t="shared" si="25"/>
        <v>0</v>
      </c>
      <c r="V101" s="1">
        <f t="shared" si="26"/>
        <v>9.8751380845579616E-3</v>
      </c>
      <c r="W101" s="1">
        <f t="shared" si="27"/>
        <v>4.276949258811411E-3</v>
      </c>
      <c r="X101" s="1">
        <f t="shared" si="28"/>
        <v>0</v>
      </c>
      <c r="Y101" s="1">
        <f t="shared" si="29"/>
        <v>1.3820285107363141E-3</v>
      </c>
      <c r="Z101" s="1">
        <f t="shared" si="20"/>
        <v>0</v>
      </c>
      <c r="AA101" s="1">
        <f t="shared" si="16"/>
        <v>4.9570638159377109E-3</v>
      </c>
      <c r="AB101" s="1">
        <f t="shared" si="17"/>
        <v>0</v>
      </c>
      <c r="AC101" s="1">
        <f t="shared" si="18"/>
        <v>2.293964581818948E-3</v>
      </c>
      <c r="AD101" s="1" t="str">
        <f t="shared" si="21"/>
        <v>MAIRIE DE DIVES SUR MER</v>
      </c>
      <c r="AE101" s="1" t="str">
        <f t="shared" si="22"/>
        <v>6247</v>
      </c>
      <c r="AF101" s="3">
        <f>Q101*Feuil2!$B$3</f>
        <v>0</v>
      </c>
      <c r="AG101" s="3">
        <f>R101*Feuil2!$C$3</f>
        <v>0</v>
      </c>
      <c r="AH101" s="3">
        <f>S101*Feuil2!$D$3</f>
        <v>177.41971553684783</v>
      </c>
      <c r="AI101" s="3">
        <f>T101*Feuil2!$E$2</f>
        <v>0</v>
      </c>
      <c r="AJ101" s="3">
        <f>U101*Feuil2!$F$3</f>
        <v>0</v>
      </c>
      <c r="AK101" s="3">
        <f>V101*Feuil2!$G$3</f>
        <v>397.84679811200749</v>
      </c>
      <c r="AL101" s="3">
        <f>W101*Feuil2!$H$3</f>
        <v>155.4990971382507</v>
      </c>
      <c r="AM101" s="3">
        <f>X101*Feuil2!$I$2</f>
        <v>0</v>
      </c>
      <c r="AN101" s="3">
        <f>Y101*Feuil2!$J$3</f>
        <v>58.394629539579768</v>
      </c>
      <c r="AO101" s="3">
        <f>Z101*Feuil2!$K$3</f>
        <v>0</v>
      </c>
      <c r="AP101" s="3">
        <f>AA101*Feuil2!$L$3</f>
        <v>180.22634854667902</v>
      </c>
      <c r="AQ101" s="3">
        <f>AB101*Feuil2!$M$3</f>
        <v>0</v>
      </c>
      <c r="AR101" s="3">
        <f>AC101*Feuil2!$N$3</f>
        <v>960.4519560064474</v>
      </c>
    </row>
    <row r="102" spans="1:44" x14ac:dyDescent="0.35">
      <c r="A102" t="s">
        <v>207</v>
      </c>
      <c r="B102" t="s">
        <v>208</v>
      </c>
      <c r="C102">
        <v>34</v>
      </c>
      <c r="D102">
        <v>71</v>
      </c>
      <c r="E102">
        <v>162</v>
      </c>
      <c r="F102">
        <v>0</v>
      </c>
      <c r="G102">
        <v>0</v>
      </c>
      <c r="H102">
        <v>158</v>
      </c>
      <c r="I102">
        <v>184</v>
      </c>
      <c r="J102">
        <v>0</v>
      </c>
      <c r="K102">
        <v>114</v>
      </c>
      <c r="L102">
        <v>128</v>
      </c>
      <c r="M102">
        <v>15</v>
      </c>
      <c r="N102">
        <v>0</v>
      </c>
      <c r="O102">
        <v>866</v>
      </c>
      <c r="Q102" s="1">
        <f>C102/$C$434</f>
        <v>8.3931965736009284E-4</v>
      </c>
      <c r="R102" s="1">
        <f t="shared" si="19"/>
        <v>2.9930022763679284E-3</v>
      </c>
      <c r="S102" s="1">
        <f t="shared" si="23"/>
        <v>5.4991683356529417E-3</v>
      </c>
      <c r="T102" s="1">
        <f t="shared" si="24"/>
        <v>0</v>
      </c>
      <c r="U102" s="1">
        <f t="shared" si="25"/>
        <v>0</v>
      </c>
      <c r="V102" s="1">
        <f t="shared" si="26"/>
        <v>5.2890570080005358E-3</v>
      </c>
      <c r="W102" s="1">
        <f t="shared" si="27"/>
        <v>4.1202024273366477E-3</v>
      </c>
      <c r="X102" s="1">
        <f t="shared" si="28"/>
        <v>0</v>
      </c>
      <c r="Y102" s="1">
        <f t="shared" si="29"/>
        <v>2.917615744887774E-3</v>
      </c>
      <c r="Z102" s="1">
        <f t="shared" si="20"/>
        <v>3.2480714575720666E-3</v>
      </c>
      <c r="AA102" s="1">
        <f t="shared" si="16"/>
        <v>3.7553513757103874E-4</v>
      </c>
      <c r="AB102" s="1">
        <f t="shared" si="17"/>
        <v>0</v>
      </c>
      <c r="AC102" s="1">
        <f t="shared" si="18"/>
        <v>2.2807960136110323E-3</v>
      </c>
      <c r="AD102" s="1" t="str">
        <f t="shared" si="21"/>
        <v>ALLEAUME SEBASTIEN</v>
      </c>
      <c r="AE102" s="1" t="str">
        <f t="shared" si="22"/>
        <v>5389</v>
      </c>
      <c r="AF102" s="3">
        <f>Q102*Feuil2!$B$3</f>
        <v>29.690865733540694</v>
      </c>
      <c r="AG102" s="3">
        <f>R102*Feuil2!$C$3</f>
        <v>105.87721608633335</v>
      </c>
      <c r="AH102" s="3">
        <f>S102*Feuil2!$D$3</f>
        <v>216.10521742082219</v>
      </c>
      <c r="AI102" s="3">
        <f>T102*Feuil2!$E$2</f>
        <v>0</v>
      </c>
      <c r="AJ102" s="3">
        <f>U102*Feuil2!$F$3</f>
        <v>0</v>
      </c>
      <c r="AK102" s="3">
        <f>V102*Feuil2!$G$3</f>
        <v>213.08404780236336</v>
      </c>
      <c r="AL102" s="3">
        <f>W102*Feuil2!$H$3</f>
        <v>149.80017734784363</v>
      </c>
      <c r="AM102" s="3">
        <f>X102*Feuil2!$I$2</f>
        <v>0</v>
      </c>
      <c r="AN102" s="3">
        <f>Y102*Feuil2!$J$3</f>
        <v>123.27755125022395</v>
      </c>
      <c r="AO102" s="3">
        <f>Z102*Feuil2!$K$3</f>
        <v>130.85739342265529</v>
      </c>
      <c r="AP102" s="3">
        <f>AA102*Feuil2!$L$3</f>
        <v>13.653511253536291</v>
      </c>
      <c r="AQ102" s="3">
        <f>AB102*Feuil2!$M$3</f>
        <v>0</v>
      </c>
      <c r="AR102" s="3">
        <f>AC102*Feuil2!$N$3</f>
        <v>954.93845453683525</v>
      </c>
    </row>
    <row r="103" spans="1:44" x14ac:dyDescent="0.35">
      <c r="A103" t="s">
        <v>209</v>
      </c>
      <c r="B103" t="s">
        <v>210</v>
      </c>
      <c r="C103">
        <v>0</v>
      </c>
      <c r="D103">
        <v>75</v>
      </c>
      <c r="E103">
        <v>193</v>
      </c>
      <c r="F103">
        <v>-40</v>
      </c>
      <c r="G103">
        <v>0</v>
      </c>
      <c r="H103">
        <v>0</v>
      </c>
      <c r="I103">
        <v>130</v>
      </c>
      <c r="J103">
        <v>58</v>
      </c>
      <c r="K103">
        <v>94</v>
      </c>
      <c r="L103">
        <v>337</v>
      </c>
      <c r="M103">
        <v>9</v>
      </c>
      <c r="N103">
        <v>0</v>
      </c>
      <c r="O103">
        <v>856</v>
      </c>
      <c r="Q103" s="1">
        <f>C103/$C$434</f>
        <v>0</v>
      </c>
      <c r="R103" s="1">
        <f t="shared" si="19"/>
        <v>3.1616221229238683E-3</v>
      </c>
      <c r="S103" s="1">
        <f t="shared" si="23"/>
        <v>6.551478325808751E-3</v>
      </c>
      <c r="T103" s="1">
        <f t="shared" si="24"/>
        <v>-1.6062321808617435E-3</v>
      </c>
      <c r="U103" s="1">
        <f t="shared" si="25"/>
        <v>0</v>
      </c>
      <c r="V103" s="1">
        <f t="shared" si="26"/>
        <v>0</v>
      </c>
      <c r="W103" s="1">
        <f t="shared" si="27"/>
        <v>2.9110125845313271E-3</v>
      </c>
      <c r="X103" s="1">
        <f t="shared" si="28"/>
        <v>3.0986216476119243E-3</v>
      </c>
      <c r="Y103" s="1">
        <f t="shared" si="29"/>
        <v>2.4057533335039541E-3</v>
      </c>
      <c r="Z103" s="1">
        <f t="shared" si="20"/>
        <v>8.5515631343889564E-3</v>
      </c>
      <c r="AA103" s="1">
        <f t="shared" si="16"/>
        <v>2.2532108254262324E-4</v>
      </c>
      <c r="AB103" s="1">
        <f t="shared" si="17"/>
        <v>0</v>
      </c>
      <c r="AC103" s="1">
        <f t="shared" si="18"/>
        <v>2.2544588771952001E-3</v>
      </c>
      <c r="AD103" s="1" t="str">
        <f t="shared" si="21"/>
        <v>BOURGUEBUS AUTO</v>
      </c>
      <c r="AE103" s="1" t="str">
        <f t="shared" si="22"/>
        <v>3045</v>
      </c>
      <c r="AF103" s="3">
        <f>Q103*Feuil2!$B$3</f>
        <v>0</v>
      </c>
      <c r="AG103" s="3">
        <f>R103*Feuil2!$C$3</f>
        <v>111.842129668662</v>
      </c>
      <c r="AH103" s="3">
        <f>S103*Feuil2!$D$3</f>
        <v>257.45868495196714</v>
      </c>
      <c r="AI103" s="3">
        <f>T103*Feuil2!$E$2</f>
        <v>-60.206400835240736</v>
      </c>
      <c r="AJ103" s="3">
        <f>U103*Feuil2!$F$3</f>
        <v>0</v>
      </c>
      <c r="AK103" s="3">
        <f>V103*Feuil2!$G$3</f>
        <v>0</v>
      </c>
      <c r="AL103" s="3">
        <f>W103*Feuil2!$H$3</f>
        <v>105.83708182184604</v>
      </c>
      <c r="AM103" s="3">
        <f>X103*Feuil2!$I$2</f>
        <v>66.192755636285924</v>
      </c>
      <c r="AN103" s="3">
        <f>Y103*Feuil2!$J$3</f>
        <v>101.64991068000923</v>
      </c>
      <c r="AO103" s="3">
        <f>Z103*Feuil2!$K$3</f>
        <v>344.52298112058463</v>
      </c>
      <c r="AP103" s="3">
        <f>AA103*Feuil2!$L$3</f>
        <v>8.1921067521217736</v>
      </c>
      <c r="AQ103" s="3">
        <f>AB103*Feuil2!$M$3</f>
        <v>0</v>
      </c>
      <c r="AR103" s="3">
        <f>AC103*Feuil2!$N$3</f>
        <v>943.91145159761072</v>
      </c>
    </row>
    <row r="104" spans="1:44" x14ac:dyDescent="0.35">
      <c r="A104" t="s">
        <v>211</v>
      </c>
      <c r="B104" t="s">
        <v>212</v>
      </c>
      <c r="C104">
        <v>251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103</v>
      </c>
      <c r="L104">
        <v>225</v>
      </c>
      <c r="M104">
        <v>271</v>
      </c>
      <c r="N104">
        <v>0</v>
      </c>
      <c r="O104">
        <v>850</v>
      </c>
      <c r="Q104" s="1">
        <f>C104/$C$434</f>
        <v>6.1961539410995085E-3</v>
      </c>
      <c r="R104" s="1">
        <f t="shared" si="19"/>
        <v>0</v>
      </c>
      <c r="S104" s="1">
        <f t="shared" si="23"/>
        <v>0</v>
      </c>
      <c r="T104" s="1">
        <f t="shared" si="24"/>
        <v>0</v>
      </c>
      <c r="U104" s="1">
        <f t="shared" si="25"/>
        <v>0</v>
      </c>
      <c r="V104" s="1">
        <f t="shared" si="26"/>
        <v>0</v>
      </c>
      <c r="W104" s="1">
        <f t="shared" si="27"/>
        <v>0</v>
      </c>
      <c r="X104" s="1">
        <f t="shared" si="28"/>
        <v>0</v>
      </c>
      <c r="Y104" s="1">
        <f t="shared" si="29"/>
        <v>2.636091418626673E-3</v>
      </c>
      <c r="Z104" s="1">
        <f t="shared" si="20"/>
        <v>5.709500609013398E-3</v>
      </c>
      <c r="AA104" s="1">
        <f t="shared" si="16"/>
        <v>6.784668152116766E-3</v>
      </c>
      <c r="AB104" s="1">
        <f t="shared" si="17"/>
        <v>0</v>
      </c>
      <c r="AC104" s="1">
        <f t="shared" si="18"/>
        <v>2.2386565953457014E-3</v>
      </c>
      <c r="AD104" s="1" t="str">
        <f t="shared" si="21"/>
        <v>LEBEDEL AUTOMOBILES</v>
      </c>
      <c r="AE104" s="1" t="str">
        <f t="shared" si="22"/>
        <v>2012</v>
      </c>
      <c r="AF104" s="3">
        <f>Q104*Feuil2!$B$3</f>
        <v>219.18844997407982</v>
      </c>
      <c r="AG104" s="3">
        <f>R104*Feuil2!$C$3</f>
        <v>0</v>
      </c>
      <c r="AH104" s="3">
        <f>S104*Feuil2!$D$3</f>
        <v>0</v>
      </c>
      <c r="AI104" s="3">
        <f>T104*Feuil2!$E$2</f>
        <v>0</v>
      </c>
      <c r="AJ104" s="3">
        <f>U104*Feuil2!$F$3</f>
        <v>0</v>
      </c>
      <c r="AK104" s="3">
        <f>V104*Feuil2!$G$3</f>
        <v>0</v>
      </c>
      <c r="AL104" s="3">
        <f>W104*Feuil2!$H$3</f>
        <v>0</v>
      </c>
      <c r="AM104" s="3">
        <f>X104*Feuil2!$I$2</f>
        <v>0</v>
      </c>
      <c r="AN104" s="3">
        <f>Y104*Feuil2!$J$3</f>
        <v>111.38234893660584</v>
      </c>
      <c r="AO104" s="3">
        <f>Z104*Feuil2!$K$3</f>
        <v>230.02276187576126</v>
      </c>
      <c r="AP104" s="3">
        <f>AA104*Feuil2!$L$3</f>
        <v>246.6734366472223</v>
      </c>
      <c r="AQ104" s="3">
        <f>AB104*Feuil2!$M$3</f>
        <v>0</v>
      </c>
      <c r="AR104" s="3">
        <f>AC104*Feuil2!$N$3</f>
        <v>937.29524983407623</v>
      </c>
    </row>
    <row r="105" spans="1:44" x14ac:dyDescent="0.35">
      <c r="A105" t="s">
        <v>213</v>
      </c>
      <c r="B105" t="s">
        <v>214</v>
      </c>
      <c r="C105">
        <v>0</v>
      </c>
      <c r="D105">
        <v>39</v>
      </c>
      <c r="E105">
        <v>146</v>
      </c>
      <c r="F105">
        <v>54</v>
      </c>
      <c r="G105">
        <v>0</v>
      </c>
      <c r="H105">
        <v>0</v>
      </c>
      <c r="I105">
        <v>175</v>
      </c>
      <c r="J105">
        <v>132</v>
      </c>
      <c r="K105">
        <v>125</v>
      </c>
      <c r="L105">
        <v>15</v>
      </c>
      <c r="M105">
        <v>150</v>
      </c>
      <c r="N105">
        <v>0</v>
      </c>
      <c r="O105">
        <v>836</v>
      </c>
      <c r="Q105" s="1">
        <f>C105/$C$434</f>
        <v>0</v>
      </c>
      <c r="R105" s="1">
        <f t="shared" si="19"/>
        <v>1.6440435039204115E-3</v>
      </c>
      <c r="S105" s="1">
        <f t="shared" si="23"/>
        <v>4.9560405987983296E-3</v>
      </c>
      <c r="T105" s="1">
        <f t="shared" si="24"/>
        <v>2.1684134441633538E-3</v>
      </c>
      <c r="U105" s="1">
        <f t="shared" si="25"/>
        <v>0</v>
      </c>
      <c r="V105" s="1">
        <f t="shared" si="26"/>
        <v>0</v>
      </c>
      <c r="W105" s="1">
        <f t="shared" si="27"/>
        <v>3.9186707868690942E-3</v>
      </c>
      <c r="X105" s="1">
        <f t="shared" si="28"/>
        <v>7.0520354738754136E-3</v>
      </c>
      <c r="Y105" s="1">
        <f t="shared" si="29"/>
        <v>3.199140071148875E-3</v>
      </c>
      <c r="Z105" s="1">
        <f t="shared" si="20"/>
        <v>3.8063337393422653E-4</v>
      </c>
      <c r="AA105" s="1">
        <f t="shared" si="16"/>
        <v>3.7553513757103874E-3</v>
      </c>
      <c r="AB105" s="1">
        <f t="shared" si="17"/>
        <v>0</v>
      </c>
      <c r="AC105" s="1">
        <f t="shared" si="18"/>
        <v>2.2017846043635367E-3</v>
      </c>
      <c r="AD105" s="1" t="str">
        <f t="shared" si="21"/>
        <v>DE L AVENIR SARL</v>
      </c>
      <c r="AE105" s="1" t="str">
        <f t="shared" si="22"/>
        <v>5317</v>
      </c>
      <c r="AF105" s="3">
        <f>Q105*Feuil2!$B$3</f>
        <v>0</v>
      </c>
      <c r="AG105" s="3">
        <f>R105*Feuil2!$C$3</f>
        <v>58.157907427704238</v>
      </c>
      <c r="AH105" s="3">
        <f>S105*Feuil2!$D$3</f>
        <v>194.76149224345701</v>
      </c>
      <c r="AI105" s="3">
        <f>T105*Feuil2!$E$2</f>
        <v>81.278641127574986</v>
      </c>
      <c r="AJ105" s="3">
        <f>U105*Feuil2!$F$3</f>
        <v>0</v>
      </c>
      <c r="AK105" s="3">
        <f>V105*Feuil2!$G$3</f>
        <v>0</v>
      </c>
      <c r="AL105" s="3">
        <f>W105*Feuil2!$H$3</f>
        <v>142.47299476017736</v>
      </c>
      <c r="AM105" s="3">
        <f>X105*Feuil2!$I$2</f>
        <v>150.64558179292658</v>
      </c>
      <c r="AN105" s="3">
        <f>Y105*Feuil2!$J$3</f>
        <v>135.17275356384204</v>
      </c>
      <c r="AO105" s="3">
        <f>Z105*Feuil2!$K$3</f>
        <v>15.334850791717418</v>
      </c>
      <c r="AP105" s="3">
        <f>AA105*Feuil2!$L$3</f>
        <v>136.53511253536291</v>
      </c>
      <c r="AQ105" s="3">
        <f>AB105*Feuil2!$M$3</f>
        <v>0</v>
      </c>
      <c r="AR105" s="3">
        <f>AC105*Feuil2!$N$3</f>
        <v>921.85744571916189</v>
      </c>
    </row>
    <row r="106" spans="1:44" x14ac:dyDescent="0.35">
      <c r="A106" t="s">
        <v>215</v>
      </c>
      <c r="B106" t="s">
        <v>216</v>
      </c>
      <c r="C106">
        <v>160</v>
      </c>
      <c r="D106">
        <v>0</v>
      </c>
      <c r="E106">
        <v>63</v>
      </c>
      <c r="F106">
        <v>143</v>
      </c>
      <c r="G106">
        <v>46</v>
      </c>
      <c r="H106">
        <v>70</v>
      </c>
      <c r="I106">
        <v>96</v>
      </c>
      <c r="J106">
        <v>0</v>
      </c>
      <c r="K106">
        <v>151</v>
      </c>
      <c r="L106">
        <v>46</v>
      </c>
      <c r="M106">
        <v>61</v>
      </c>
      <c r="N106">
        <v>0</v>
      </c>
      <c r="O106">
        <v>836</v>
      </c>
      <c r="Q106" s="1">
        <f>C106/$C$434</f>
        <v>3.9497395640474952E-3</v>
      </c>
      <c r="R106" s="1">
        <f t="shared" si="19"/>
        <v>0</v>
      </c>
      <c r="S106" s="1">
        <f t="shared" si="23"/>
        <v>2.1385654638650326E-3</v>
      </c>
      <c r="T106" s="1">
        <f t="shared" si="24"/>
        <v>5.742280046580733E-3</v>
      </c>
      <c r="U106" s="1">
        <f t="shared" si="25"/>
        <v>2.1927733816379065E-3</v>
      </c>
      <c r="V106" s="1">
        <f t="shared" si="26"/>
        <v>2.3432531048103639E-3</v>
      </c>
      <c r="W106" s="1">
        <f t="shared" si="27"/>
        <v>2.1496708316539031E-3</v>
      </c>
      <c r="X106" s="1">
        <f t="shared" si="28"/>
        <v>0</v>
      </c>
      <c r="Y106" s="1">
        <f t="shared" si="29"/>
        <v>3.8645612059478411E-3</v>
      </c>
      <c r="Z106" s="1">
        <f t="shared" si="20"/>
        <v>1.1672756800649613E-3</v>
      </c>
      <c r="AA106" s="1">
        <f t="shared" si="16"/>
        <v>1.5271762261222241E-3</v>
      </c>
      <c r="AB106" s="1">
        <f t="shared" si="17"/>
        <v>0</v>
      </c>
      <c r="AC106" s="1">
        <f t="shared" si="18"/>
        <v>2.2017846043635367E-3</v>
      </c>
      <c r="AD106" s="1" t="str">
        <f t="shared" si="21"/>
        <v>LECLAIR</v>
      </c>
      <c r="AE106" s="1" t="str">
        <f t="shared" si="22"/>
        <v>3398</v>
      </c>
      <c r="AF106" s="3">
        <f>Q106*Feuil2!$B$3</f>
        <v>139.72172109901501</v>
      </c>
      <c r="AG106" s="3">
        <f>R106*Feuil2!$C$3</f>
        <v>0</v>
      </c>
      <c r="AH106" s="3">
        <f>S106*Feuil2!$D$3</f>
        <v>84.040917885875288</v>
      </c>
      <c r="AI106" s="3">
        <f>T106*Feuil2!$E$2</f>
        <v>215.23788298598561</v>
      </c>
      <c r="AJ106" s="3">
        <f>U106*Feuil2!$F$3</f>
        <v>56.021851463437891</v>
      </c>
      <c r="AK106" s="3">
        <f>V106*Feuil2!$G$3</f>
        <v>94.404324975730603</v>
      </c>
      <c r="AL106" s="3">
        <f>W106*Feuil2!$H$3</f>
        <v>78.156614268440151</v>
      </c>
      <c r="AM106" s="3">
        <f>X106*Feuil2!$I$2</f>
        <v>0</v>
      </c>
      <c r="AN106" s="3">
        <f>Y106*Feuil2!$J$3</f>
        <v>163.28868630512119</v>
      </c>
      <c r="AO106" s="3">
        <f>Z106*Feuil2!$K$3</f>
        <v>47.026875761266744</v>
      </c>
      <c r="AP106" s="3">
        <f>AA106*Feuil2!$L$3</f>
        <v>55.524279097714249</v>
      </c>
      <c r="AQ106" s="3">
        <f>AB106*Feuil2!$M$3</f>
        <v>0</v>
      </c>
      <c r="AR106" s="3">
        <f>AC106*Feuil2!$N$3</f>
        <v>921.85744571916189</v>
      </c>
    </row>
    <row r="107" spans="1:44" x14ac:dyDescent="0.35">
      <c r="A107" t="s">
        <v>217</v>
      </c>
      <c r="B107" t="s">
        <v>218</v>
      </c>
      <c r="C107">
        <v>329</v>
      </c>
      <c r="D107">
        <v>271</v>
      </c>
      <c r="E107">
        <v>51</v>
      </c>
      <c r="F107">
        <v>29</v>
      </c>
      <c r="G107">
        <v>0</v>
      </c>
      <c r="H107">
        <v>40</v>
      </c>
      <c r="I107">
        <v>8</v>
      </c>
      <c r="J107">
        <v>0</v>
      </c>
      <c r="K107">
        <v>75</v>
      </c>
      <c r="L107">
        <v>0</v>
      </c>
      <c r="M107">
        <v>32</v>
      </c>
      <c r="N107">
        <v>0</v>
      </c>
      <c r="O107">
        <v>835</v>
      </c>
      <c r="Q107" s="1">
        <f>C107/$C$434</f>
        <v>8.1216519785726627E-3</v>
      </c>
      <c r="R107" s="1">
        <f t="shared" si="19"/>
        <v>1.1423994604164911E-2</v>
      </c>
      <c r="S107" s="1">
        <f t="shared" si="23"/>
        <v>1.7312196612240742E-3</v>
      </c>
      <c r="T107" s="1">
        <f t="shared" si="24"/>
        <v>1.1645183311247641E-3</v>
      </c>
      <c r="U107" s="1">
        <f t="shared" si="25"/>
        <v>0</v>
      </c>
      <c r="V107" s="1">
        <f t="shared" si="26"/>
        <v>1.3390017741773507E-3</v>
      </c>
      <c r="W107" s="1">
        <f t="shared" si="27"/>
        <v>1.7913923597115858E-4</v>
      </c>
      <c r="X107" s="1">
        <f t="shared" si="28"/>
        <v>0</v>
      </c>
      <c r="Y107" s="1">
        <f t="shared" si="29"/>
        <v>1.9194840426893251E-3</v>
      </c>
      <c r="Z107" s="1">
        <f t="shared" si="20"/>
        <v>0</v>
      </c>
      <c r="AA107" s="1">
        <f t="shared" si="16"/>
        <v>8.0114162681821594E-4</v>
      </c>
      <c r="AB107" s="1">
        <f t="shared" si="17"/>
        <v>0</v>
      </c>
      <c r="AC107" s="1">
        <f t="shared" si="18"/>
        <v>2.1991508907219536E-3</v>
      </c>
      <c r="AD107" s="1" t="str">
        <f t="shared" si="21"/>
        <v>EMCB</v>
      </c>
      <c r="AE107" s="1" t="str">
        <f t="shared" si="22"/>
        <v>3715</v>
      </c>
      <c r="AF107" s="3">
        <f>Q107*Feuil2!$B$3</f>
        <v>287.30278900984962</v>
      </c>
      <c r="AG107" s="3">
        <f>R107*Feuil2!$C$3</f>
        <v>404.12289520276533</v>
      </c>
      <c r="AH107" s="3">
        <f>S107*Feuil2!$D$3</f>
        <v>68.033124002851423</v>
      </c>
      <c r="AI107" s="3">
        <f>T107*Feuil2!$E$2</f>
        <v>43.649640605549536</v>
      </c>
      <c r="AJ107" s="3">
        <f>U107*Feuil2!$F$3</f>
        <v>0</v>
      </c>
      <c r="AK107" s="3">
        <f>V107*Feuil2!$G$3</f>
        <v>53.945328557560337</v>
      </c>
      <c r="AL107" s="3">
        <f>W107*Feuil2!$H$3</f>
        <v>6.5130511890366796</v>
      </c>
      <c r="AM107" s="3">
        <f>X107*Feuil2!$I$2</f>
        <v>0</v>
      </c>
      <c r="AN107" s="3">
        <f>Y107*Feuil2!$J$3</f>
        <v>81.103652138305236</v>
      </c>
      <c r="AO107" s="3">
        <f>Z107*Feuil2!$K$3</f>
        <v>0</v>
      </c>
      <c r="AP107" s="3">
        <f>AA107*Feuil2!$L$3</f>
        <v>29.127490674210751</v>
      </c>
      <c r="AQ107" s="3">
        <f>AB107*Feuil2!$M$3</f>
        <v>0</v>
      </c>
      <c r="AR107" s="3">
        <f>AC107*Feuil2!$N$3</f>
        <v>920.75474542523955</v>
      </c>
    </row>
    <row r="108" spans="1:44" x14ac:dyDescent="0.35">
      <c r="A108" t="s">
        <v>219</v>
      </c>
      <c r="B108" t="s">
        <v>220</v>
      </c>
      <c r="C108">
        <v>76</v>
      </c>
      <c r="D108">
        <v>0</v>
      </c>
      <c r="E108">
        <v>75</v>
      </c>
      <c r="F108">
        <v>0</v>
      </c>
      <c r="G108">
        <v>100</v>
      </c>
      <c r="H108">
        <v>288</v>
      </c>
      <c r="I108">
        <v>31</v>
      </c>
      <c r="J108">
        <v>144</v>
      </c>
      <c r="K108">
        <v>114</v>
      </c>
      <c r="L108">
        <v>0</v>
      </c>
      <c r="M108">
        <v>0</v>
      </c>
      <c r="N108">
        <v>0</v>
      </c>
      <c r="O108">
        <v>828</v>
      </c>
      <c r="Q108" s="1">
        <f>C108/$C$434</f>
        <v>1.8761262929225604E-3</v>
      </c>
      <c r="R108" s="1">
        <f t="shared" si="19"/>
        <v>0</v>
      </c>
      <c r="S108" s="1">
        <f t="shared" si="23"/>
        <v>2.5459112665059914E-3</v>
      </c>
      <c r="T108" s="1">
        <f t="shared" si="24"/>
        <v>0</v>
      </c>
      <c r="U108" s="1">
        <f t="shared" si="25"/>
        <v>4.7668986557345789E-3</v>
      </c>
      <c r="V108" s="1">
        <f t="shared" si="26"/>
        <v>9.6408127740769262E-3</v>
      </c>
      <c r="W108" s="1">
        <f t="shared" si="27"/>
        <v>6.9416453938823952E-4</v>
      </c>
      <c r="X108" s="1">
        <f t="shared" si="28"/>
        <v>7.693129607864088E-3</v>
      </c>
      <c r="Y108" s="1">
        <f t="shared" si="29"/>
        <v>2.917615744887774E-3</v>
      </c>
      <c r="Z108" s="1">
        <f t="shared" si="20"/>
        <v>0</v>
      </c>
      <c r="AA108" s="1">
        <f t="shared" si="16"/>
        <v>0</v>
      </c>
      <c r="AB108" s="1">
        <f t="shared" si="17"/>
        <v>0</v>
      </c>
      <c r="AC108" s="1">
        <f t="shared" si="18"/>
        <v>2.1807148952308715E-3</v>
      </c>
      <c r="AD108" s="1" t="str">
        <f t="shared" si="21"/>
        <v>ROBILLARD SAS</v>
      </c>
      <c r="AE108" s="1" t="str">
        <f t="shared" si="22"/>
        <v>5016</v>
      </c>
      <c r="AF108" s="3">
        <f>Q108*Feuil2!$B$3</f>
        <v>66.367817522032141</v>
      </c>
      <c r="AG108" s="3">
        <f>R108*Feuil2!$C$3</f>
        <v>0</v>
      </c>
      <c r="AH108" s="3">
        <f>S108*Feuil2!$D$3</f>
        <v>100.04871176889915</v>
      </c>
      <c r="AI108" s="3">
        <f>T108*Feuil2!$E$2</f>
        <v>0</v>
      </c>
      <c r="AJ108" s="3">
        <f>U108*Feuil2!$F$3</f>
        <v>121.78663361616933</v>
      </c>
      <c r="AK108" s="3">
        <f>V108*Feuil2!$G$3</f>
        <v>388.40636561443449</v>
      </c>
      <c r="AL108" s="3">
        <f>W108*Feuil2!$H$3</f>
        <v>25.238073357517134</v>
      </c>
      <c r="AM108" s="3">
        <f>X108*Feuil2!$I$2</f>
        <v>164.34063468319266</v>
      </c>
      <c r="AN108" s="3">
        <f>Y108*Feuil2!$J$3</f>
        <v>123.27755125022395</v>
      </c>
      <c r="AO108" s="3">
        <f>Z108*Feuil2!$K$3</f>
        <v>0</v>
      </c>
      <c r="AP108" s="3">
        <f>AA108*Feuil2!$L$3</f>
        <v>0</v>
      </c>
      <c r="AQ108" s="3">
        <f>AB108*Feuil2!$M$3</f>
        <v>0</v>
      </c>
      <c r="AR108" s="3">
        <f>AC108*Feuil2!$N$3</f>
        <v>913.03584336778249</v>
      </c>
    </row>
    <row r="109" spans="1:44" x14ac:dyDescent="0.35">
      <c r="A109" t="s">
        <v>221</v>
      </c>
      <c r="B109" t="s">
        <v>222</v>
      </c>
      <c r="C109">
        <v>0</v>
      </c>
      <c r="D109">
        <v>0</v>
      </c>
      <c r="E109">
        <v>299</v>
      </c>
      <c r="F109">
        <v>0</v>
      </c>
      <c r="G109">
        <v>0</v>
      </c>
      <c r="H109">
        <v>431</v>
      </c>
      <c r="I109">
        <v>0</v>
      </c>
      <c r="J109">
        <v>0</v>
      </c>
      <c r="K109">
        <v>0</v>
      </c>
      <c r="L109">
        <v>0</v>
      </c>
      <c r="M109">
        <v>97</v>
      </c>
      <c r="N109">
        <v>0</v>
      </c>
      <c r="O109">
        <v>827</v>
      </c>
      <c r="Q109" s="1">
        <f>C109/$C$434</f>
        <v>0</v>
      </c>
      <c r="R109" s="1">
        <f t="shared" si="19"/>
        <v>0</v>
      </c>
      <c r="S109" s="1">
        <f t="shared" si="23"/>
        <v>1.0149699582470553E-2</v>
      </c>
      <c r="T109" s="1">
        <f t="shared" si="24"/>
        <v>0</v>
      </c>
      <c r="U109" s="1">
        <f t="shared" si="25"/>
        <v>0</v>
      </c>
      <c r="V109" s="1">
        <f t="shared" si="26"/>
        <v>1.4427744116760954E-2</v>
      </c>
      <c r="W109" s="1">
        <f t="shared" si="27"/>
        <v>0</v>
      </c>
      <c r="X109" s="1">
        <f t="shared" si="28"/>
        <v>0</v>
      </c>
      <c r="Y109" s="1">
        <f t="shared" si="29"/>
        <v>0</v>
      </c>
      <c r="Z109" s="1">
        <f t="shared" si="20"/>
        <v>0</v>
      </c>
      <c r="AA109" s="1">
        <f t="shared" si="16"/>
        <v>2.4284605562927171E-3</v>
      </c>
      <c r="AB109" s="1">
        <f t="shared" si="17"/>
        <v>0</v>
      </c>
      <c r="AC109" s="1">
        <f t="shared" si="18"/>
        <v>2.178081181589288E-3</v>
      </c>
      <c r="AD109" s="1" t="str">
        <f t="shared" si="21"/>
        <v>MC2J SERVICE</v>
      </c>
      <c r="AE109" s="1" t="str">
        <f t="shared" si="22"/>
        <v>3851</v>
      </c>
      <c r="AF109" s="3">
        <f>Q109*Feuil2!$B$3</f>
        <v>0</v>
      </c>
      <c r="AG109" s="3">
        <f>R109*Feuil2!$C$3</f>
        <v>0</v>
      </c>
      <c r="AH109" s="3">
        <f>S109*Feuil2!$D$3</f>
        <v>398.86086425201131</v>
      </c>
      <c r="AI109" s="3">
        <f>T109*Feuil2!$E$2</f>
        <v>0</v>
      </c>
      <c r="AJ109" s="3">
        <f>U109*Feuil2!$F$3</f>
        <v>0</v>
      </c>
      <c r="AK109" s="3">
        <f>V109*Feuil2!$G$3</f>
        <v>581.26091520771263</v>
      </c>
      <c r="AL109" s="3">
        <f>W109*Feuil2!$H$3</f>
        <v>0</v>
      </c>
      <c r="AM109" s="3">
        <f>X109*Feuil2!$I$2</f>
        <v>0</v>
      </c>
      <c r="AN109" s="3">
        <f>Y109*Feuil2!$J$3</f>
        <v>0</v>
      </c>
      <c r="AO109" s="3">
        <f>Z109*Feuil2!$K$3</f>
        <v>0</v>
      </c>
      <c r="AP109" s="3">
        <f>AA109*Feuil2!$L$3</f>
        <v>88.292706106201337</v>
      </c>
      <c r="AQ109" s="3">
        <f>AB109*Feuil2!$M$3</f>
        <v>0</v>
      </c>
      <c r="AR109" s="3">
        <f>AC109*Feuil2!$N$3</f>
        <v>911.93314307385992</v>
      </c>
    </row>
    <row r="110" spans="1:44" x14ac:dyDescent="0.35">
      <c r="A110" t="s">
        <v>223</v>
      </c>
      <c r="B110" t="s">
        <v>224</v>
      </c>
      <c r="C110">
        <v>21</v>
      </c>
      <c r="D110">
        <v>130</v>
      </c>
      <c r="E110">
        <v>167</v>
      </c>
      <c r="F110">
        <v>0</v>
      </c>
      <c r="G110">
        <v>127</v>
      </c>
      <c r="H110">
        <v>107</v>
      </c>
      <c r="I110">
        <v>98</v>
      </c>
      <c r="J110">
        <v>27</v>
      </c>
      <c r="K110">
        <v>0</v>
      </c>
      <c r="L110">
        <v>111</v>
      </c>
      <c r="M110">
        <v>32</v>
      </c>
      <c r="N110">
        <v>0</v>
      </c>
      <c r="O110">
        <v>820</v>
      </c>
      <c r="Q110" s="1">
        <f>C110/$C$434</f>
        <v>5.184033177812338E-4</v>
      </c>
      <c r="R110" s="1">
        <f t="shared" si="19"/>
        <v>5.4801450130680385E-3</v>
      </c>
      <c r="S110" s="1">
        <f t="shared" si="23"/>
        <v>5.6688957534200071E-3</v>
      </c>
      <c r="T110" s="1">
        <f t="shared" si="24"/>
        <v>0</v>
      </c>
      <c r="U110" s="1">
        <f t="shared" si="25"/>
        <v>6.0539612927829152E-3</v>
      </c>
      <c r="V110" s="1">
        <f t="shared" si="26"/>
        <v>3.5818297459244133E-3</v>
      </c>
      <c r="W110" s="1">
        <f t="shared" si="27"/>
        <v>2.1944556406466925E-3</v>
      </c>
      <c r="X110" s="1">
        <f t="shared" si="28"/>
        <v>1.4424618014745164E-3</v>
      </c>
      <c r="Y110" s="1">
        <f t="shared" si="29"/>
        <v>0</v>
      </c>
      <c r="Z110" s="1">
        <f t="shared" si="20"/>
        <v>2.8166869671132763E-3</v>
      </c>
      <c r="AA110" s="1">
        <f t="shared" si="16"/>
        <v>8.0114162681821594E-4</v>
      </c>
      <c r="AB110" s="1">
        <f t="shared" si="17"/>
        <v>0</v>
      </c>
      <c r="AC110" s="1">
        <f t="shared" si="18"/>
        <v>2.1596451860982058E-3</v>
      </c>
      <c r="AD110" s="1" t="str">
        <f t="shared" si="21"/>
        <v>NBC CARROSSERIE</v>
      </c>
      <c r="AE110" s="1" t="str">
        <f t="shared" si="22"/>
        <v>3472</v>
      </c>
      <c r="AF110" s="3">
        <f>Q110*Feuil2!$B$3</f>
        <v>18.338475894245722</v>
      </c>
      <c r="AG110" s="3">
        <f>R110*Feuil2!$C$3</f>
        <v>193.85969142568081</v>
      </c>
      <c r="AH110" s="3">
        <f>S110*Feuil2!$D$3</f>
        <v>222.77513153874878</v>
      </c>
      <c r="AI110" s="3">
        <f>T110*Feuil2!$E$2</f>
        <v>0</v>
      </c>
      <c r="AJ110" s="3">
        <f>U110*Feuil2!$F$3</f>
        <v>154.66902469253503</v>
      </c>
      <c r="AK110" s="3">
        <f>V110*Feuil2!$G$3</f>
        <v>144.30375389147392</v>
      </c>
      <c r="AL110" s="3">
        <f>W110*Feuil2!$H$3</f>
        <v>79.78487706569932</v>
      </c>
      <c r="AM110" s="3">
        <f>X110*Feuil2!$I$2</f>
        <v>30.81386900309862</v>
      </c>
      <c r="AN110" s="3">
        <f>Y110*Feuil2!$J$3</f>
        <v>0</v>
      </c>
      <c r="AO110" s="3">
        <f>Z110*Feuil2!$K$3</f>
        <v>113.47789585870889</v>
      </c>
      <c r="AP110" s="3">
        <f>AA110*Feuil2!$L$3</f>
        <v>29.127490674210751</v>
      </c>
      <c r="AQ110" s="3">
        <f>AB110*Feuil2!$M$3</f>
        <v>0</v>
      </c>
      <c r="AR110" s="3">
        <f>AC110*Feuil2!$N$3</f>
        <v>904.21424101640287</v>
      </c>
    </row>
    <row r="111" spans="1:44" x14ac:dyDescent="0.35">
      <c r="A111" t="s">
        <v>225</v>
      </c>
      <c r="B111" t="s">
        <v>226</v>
      </c>
      <c r="C111">
        <v>0</v>
      </c>
      <c r="D111">
        <v>43</v>
      </c>
      <c r="E111">
        <v>0</v>
      </c>
      <c r="F111">
        <v>139</v>
      </c>
      <c r="G111">
        <v>57</v>
      </c>
      <c r="H111">
        <v>119</v>
      </c>
      <c r="I111">
        <v>171</v>
      </c>
      <c r="J111">
        <v>0</v>
      </c>
      <c r="K111">
        <v>64</v>
      </c>
      <c r="L111">
        <v>122</v>
      </c>
      <c r="M111">
        <v>86</v>
      </c>
      <c r="N111">
        <v>0</v>
      </c>
      <c r="O111">
        <v>801</v>
      </c>
      <c r="Q111" s="1">
        <f>C111/$C$434</f>
        <v>0</v>
      </c>
      <c r="R111" s="1">
        <f t="shared" si="19"/>
        <v>1.812663350476351E-3</v>
      </c>
      <c r="S111" s="1">
        <f t="shared" si="23"/>
        <v>0</v>
      </c>
      <c r="T111" s="1">
        <f t="shared" si="24"/>
        <v>5.5816568284945585E-3</v>
      </c>
      <c r="U111" s="1">
        <f t="shared" si="25"/>
        <v>2.7171322337687103E-3</v>
      </c>
      <c r="V111" s="1">
        <f t="shared" si="26"/>
        <v>3.9835302781776188E-3</v>
      </c>
      <c r="W111" s="1">
        <f t="shared" si="27"/>
        <v>3.8291011688835145E-3</v>
      </c>
      <c r="X111" s="1">
        <f t="shared" si="28"/>
        <v>0</v>
      </c>
      <c r="Y111" s="1">
        <f t="shared" si="29"/>
        <v>1.6379597164282241E-3</v>
      </c>
      <c r="Z111" s="1">
        <f t="shared" si="20"/>
        <v>3.095818107998376E-3</v>
      </c>
      <c r="AA111" s="1">
        <f t="shared" si="16"/>
        <v>2.1530681220739553E-3</v>
      </c>
      <c r="AB111" s="1">
        <f t="shared" si="17"/>
        <v>0</v>
      </c>
      <c r="AC111" s="1">
        <f t="shared" si="18"/>
        <v>2.1096046269081254E-3</v>
      </c>
      <c r="AD111" s="1" t="str">
        <f t="shared" si="21"/>
        <v>EXPANSIA CARROSSERIE</v>
      </c>
      <c r="AE111" s="1" t="str">
        <f t="shared" si="22"/>
        <v>3668</v>
      </c>
      <c r="AF111" s="3">
        <f>Q111*Feuil2!$B$3</f>
        <v>0</v>
      </c>
      <c r="AG111" s="3">
        <f>R111*Feuil2!$C$3</f>
        <v>64.122821010032879</v>
      </c>
      <c r="AH111" s="3">
        <f>S111*Feuil2!$D$3</f>
        <v>0</v>
      </c>
      <c r="AI111" s="3">
        <f>T111*Feuil2!$E$2</f>
        <v>209.21724290246155</v>
      </c>
      <c r="AJ111" s="3">
        <f>U111*Feuil2!$F$3</f>
        <v>69.418381161216516</v>
      </c>
      <c r="AK111" s="3">
        <f>V111*Feuil2!$G$3</f>
        <v>160.48735245874201</v>
      </c>
      <c r="AL111" s="3">
        <f>W111*Feuil2!$H$3</f>
        <v>139.21646916565902</v>
      </c>
      <c r="AM111" s="3">
        <f>X111*Feuil2!$I$2</f>
        <v>0</v>
      </c>
      <c r="AN111" s="3">
        <f>Y111*Feuil2!$J$3</f>
        <v>69.208449824687136</v>
      </c>
      <c r="AO111" s="3">
        <f>Z111*Feuil2!$K$3</f>
        <v>124.72345310596833</v>
      </c>
      <c r="AP111" s="3">
        <f>AA111*Feuil2!$L$3</f>
        <v>78.280131186941389</v>
      </c>
      <c r="AQ111" s="3">
        <f>AB111*Feuil2!$M$3</f>
        <v>0</v>
      </c>
      <c r="AR111" s="3">
        <f>AC111*Feuil2!$N$3</f>
        <v>883.26293543187637</v>
      </c>
    </row>
    <row r="112" spans="1:44" x14ac:dyDescent="0.35">
      <c r="A112" t="s">
        <v>227</v>
      </c>
      <c r="B112" t="s">
        <v>228</v>
      </c>
      <c r="C112">
        <v>11</v>
      </c>
      <c r="D112">
        <v>144</v>
      </c>
      <c r="E112">
        <v>73</v>
      </c>
      <c r="F112">
        <v>0</v>
      </c>
      <c r="G112">
        <v>52</v>
      </c>
      <c r="H112">
        <v>133</v>
      </c>
      <c r="I112">
        <v>0</v>
      </c>
      <c r="J112">
        <v>13</v>
      </c>
      <c r="K112">
        <v>102</v>
      </c>
      <c r="L112">
        <v>0</v>
      </c>
      <c r="M112">
        <v>273</v>
      </c>
      <c r="N112">
        <v>0</v>
      </c>
      <c r="O112">
        <v>801</v>
      </c>
      <c r="Q112" s="1">
        <f>C112/$C$434</f>
        <v>2.7154459502826535E-4</v>
      </c>
      <c r="R112" s="1">
        <f t="shared" si="19"/>
        <v>6.0703144760138267E-3</v>
      </c>
      <c r="S112" s="1">
        <f t="shared" si="23"/>
        <v>2.4780202993991648E-3</v>
      </c>
      <c r="T112" s="1">
        <f t="shared" si="24"/>
        <v>0</v>
      </c>
      <c r="U112" s="1">
        <f t="shared" si="25"/>
        <v>2.4787873009819812E-3</v>
      </c>
      <c r="V112" s="1">
        <f t="shared" si="26"/>
        <v>4.4521808991396915E-3</v>
      </c>
      <c r="W112" s="1">
        <f t="shared" si="27"/>
        <v>0</v>
      </c>
      <c r="X112" s="1">
        <f t="shared" si="28"/>
        <v>6.9451864515439679E-4</v>
      </c>
      <c r="Y112" s="1">
        <f t="shared" si="29"/>
        <v>2.6104982980574821E-3</v>
      </c>
      <c r="Z112" s="1">
        <f t="shared" si="20"/>
        <v>0</v>
      </c>
      <c r="AA112" s="1">
        <f t="shared" si="16"/>
        <v>6.8347395037929052E-3</v>
      </c>
      <c r="AB112" s="1">
        <f t="shared" si="17"/>
        <v>0</v>
      </c>
      <c r="AC112" s="1">
        <f t="shared" si="18"/>
        <v>2.1096046269081254E-3</v>
      </c>
      <c r="AD112" s="1" t="str">
        <f t="shared" si="21"/>
        <v>FELISAZ</v>
      </c>
      <c r="AE112" s="1" t="str">
        <f t="shared" si="22"/>
        <v>5143</v>
      </c>
      <c r="AF112" s="3">
        <f>Q112*Feuil2!$B$3</f>
        <v>9.6058683255572834</v>
      </c>
      <c r="AG112" s="3">
        <f>R112*Feuil2!$C$3</f>
        <v>214.73688896383103</v>
      </c>
      <c r="AH112" s="3">
        <f>S112*Feuil2!$D$3</f>
        <v>97.380746121728507</v>
      </c>
      <c r="AI112" s="3">
        <f>T112*Feuil2!$E$2</f>
        <v>0</v>
      </c>
      <c r="AJ112" s="3">
        <f>U112*Feuil2!$F$3</f>
        <v>63.329049480408052</v>
      </c>
      <c r="AK112" s="3">
        <f>V112*Feuil2!$G$3</f>
        <v>179.36821745388815</v>
      </c>
      <c r="AL112" s="3">
        <f>W112*Feuil2!$H$3</f>
        <v>0</v>
      </c>
      <c r="AM112" s="3">
        <f>X112*Feuil2!$I$2</f>
        <v>14.836307297788224</v>
      </c>
      <c r="AN112" s="3">
        <f>Y112*Feuil2!$J$3</f>
        <v>110.30096690809511</v>
      </c>
      <c r="AO112" s="3">
        <f>Z112*Feuil2!$K$3</f>
        <v>0</v>
      </c>
      <c r="AP112" s="3">
        <f>AA112*Feuil2!$L$3</f>
        <v>248.49390481436049</v>
      </c>
      <c r="AQ112" s="3">
        <f>AB112*Feuil2!$M$3</f>
        <v>0</v>
      </c>
      <c r="AR112" s="3">
        <f>AC112*Feuil2!$N$3</f>
        <v>883.26293543187637</v>
      </c>
    </row>
    <row r="113" spans="1:44" x14ac:dyDescent="0.35">
      <c r="A113" t="s">
        <v>229</v>
      </c>
      <c r="B113" t="s">
        <v>230</v>
      </c>
      <c r="C113">
        <v>0</v>
      </c>
      <c r="D113">
        <v>0</v>
      </c>
      <c r="E113">
        <v>103</v>
      </c>
      <c r="F113">
        <v>84</v>
      </c>
      <c r="G113">
        <v>0</v>
      </c>
      <c r="H113">
        <v>0</v>
      </c>
      <c r="I113">
        <v>110</v>
      </c>
      <c r="J113">
        <v>116</v>
      </c>
      <c r="K113">
        <v>106</v>
      </c>
      <c r="L113">
        <v>179</v>
      </c>
      <c r="M113">
        <v>91</v>
      </c>
      <c r="N113">
        <v>0</v>
      </c>
      <c r="O113">
        <v>789</v>
      </c>
      <c r="Q113" s="1">
        <f>C113/$C$434</f>
        <v>0</v>
      </c>
      <c r="R113" s="1">
        <f t="shared" si="19"/>
        <v>0</v>
      </c>
      <c r="S113" s="1">
        <f t="shared" si="23"/>
        <v>3.4963848060015615E-3</v>
      </c>
      <c r="T113" s="1">
        <f t="shared" si="24"/>
        <v>3.3730875798096615E-3</v>
      </c>
      <c r="U113" s="1">
        <f t="shared" si="25"/>
        <v>0</v>
      </c>
      <c r="V113" s="1">
        <f t="shared" si="26"/>
        <v>0</v>
      </c>
      <c r="W113" s="1">
        <f t="shared" si="27"/>
        <v>2.4631644946034306E-3</v>
      </c>
      <c r="X113" s="1">
        <f t="shared" si="28"/>
        <v>6.1972432952238487E-3</v>
      </c>
      <c r="Y113" s="1">
        <f t="shared" si="29"/>
        <v>2.712870780334246E-3</v>
      </c>
      <c r="Z113" s="1">
        <f t="shared" si="20"/>
        <v>4.5422249289484365E-3</v>
      </c>
      <c r="AA113" s="1">
        <f t="shared" si="16"/>
        <v>2.2782465012643016E-3</v>
      </c>
      <c r="AB113" s="1">
        <f t="shared" si="17"/>
        <v>0</v>
      </c>
      <c r="AC113" s="1">
        <f t="shared" si="18"/>
        <v>2.0780000632091276E-3</v>
      </c>
      <c r="AD113" s="1" t="str">
        <f t="shared" si="21"/>
        <v>LESIEUR GARAGE SARL</v>
      </c>
      <c r="AE113" s="1" t="str">
        <f t="shared" si="22"/>
        <v>2778</v>
      </c>
      <c r="AF113" s="3">
        <f>Q113*Feuil2!$B$3</f>
        <v>0</v>
      </c>
      <c r="AG113" s="3">
        <f>R113*Feuil2!$C$3</f>
        <v>0</v>
      </c>
      <c r="AH113" s="3">
        <f>S113*Feuil2!$D$3</f>
        <v>137.40023082928818</v>
      </c>
      <c r="AI113" s="3">
        <f>T113*Feuil2!$E$2</f>
        <v>126.43344175400554</v>
      </c>
      <c r="AJ113" s="3">
        <f>U113*Feuil2!$F$3</f>
        <v>0</v>
      </c>
      <c r="AK113" s="3">
        <f>V113*Feuil2!$G$3</f>
        <v>0</v>
      </c>
      <c r="AL113" s="3">
        <f>W113*Feuil2!$H$3</f>
        <v>89.554453849254344</v>
      </c>
      <c r="AM113" s="3">
        <f>X113*Feuil2!$I$2</f>
        <v>132.38551127257185</v>
      </c>
      <c r="AN113" s="3">
        <f>Y113*Feuil2!$J$3</f>
        <v>114.62649502213806</v>
      </c>
      <c r="AO113" s="3">
        <f>Z113*Feuil2!$K$3</f>
        <v>182.99588611449451</v>
      </c>
      <c r="AP113" s="3">
        <f>AA113*Feuil2!$L$3</f>
        <v>82.83130160478683</v>
      </c>
      <c r="AQ113" s="3">
        <f>AB113*Feuil2!$M$3</f>
        <v>0</v>
      </c>
      <c r="AR113" s="3">
        <f>AC113*Feuil2!$N$3</f>
        <v>870.03053190480716</v>
      </c>
    </row>
    <row r="114" spans="1:44" x14ac:dyDescent="0.35">
      <c r="A114" t="s">
        <v>231</v>
      </c>
      <c r="B114" t="s">
        <v>232</v>
      </c>
      <c r="C114">
        <v>788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788</v>
      </c>
      <c r="Q114" s="1">
        <f>C114/$C$434</f>
        <v>1.9452467352933916E-2</v>
      </c>
      <c r="R114" s="1">
        <f t="shared" si="19"/>
        <v>0</v>
      </c>
      <c r="S114" s="1">
        <f t="shared" si="23"/>
        <v>0</v>
      </c>
      <c r="T114" s="1">
        <f t="shared" si="24"/>
        <v>0</v>
      </c>
      <c r="U114" s="1">
        <f t="shared" si="25"/>
        <v>0</v>
      </c>
      <c r="V114" s="1">
        <f t="shared" si="26"/>
        <v>0</v>
      </c>
      <c r="W114" s="1">
        <f t="shared" si="27"/>
        <v>0</v>
      </c>
      <c r="X114" s="1">
        <f t="shared" si="28"/>
        <v>0</v>
      </c>
      <c r="Y114" s="1">
        <f t="shared" si="29"/>
        <v>0</v>
      </c>
      <c r="Z114" s="1">
        <f t="shared" si="20"/>
        <v>0</v>
      </c>
      <c r="AA114" s="1">
        <f t="shared" si="16"/>
        <v>0</v>
      </c>
      <c r="AB114" s="1">
        <f t="shared" si="17"/>
        <v>0</v>
      </c>
      <c r="AC114" s="1">
        <f t="shared" si="18"/>
        <v>2.0753663495675441E-3</v>
      </c>
      <c r="AD114" s="1" t="str">
        <f t="shared" si="21"/>
        <v>LEROUTIER SARL</v>
      </c>
      <c r="AE114" s="1" t="str">
        <f t="shared" si="22"/>
        <v>4002</v>
      </c>
      <c r="AF114" s="3">
        <f>Q114*Feuil2!$B$3</f>
        <v>688.12947641264896</v>
      </c>
      <c r="AG114" s="3">
        <f>R114*Feuil2!$C$3</f>
        <v>0</v>
      </c>
      <c r="AH114" s="3">
        <f>S114*Feuil2!$D$3</f>
        <v>0</v>
      </c>
      <c r="AI114" s="3">
        <f>T114*Feuil2!$E$2</f>
        <v>0</v>
      </c>
      <c r="AJ114" s="3">
        <f>U114*Feuil2!$F$3</f>
        <v>0</v>
      </c>
      <c r="AK114" s="3">
        <f>V114*Feuil2!$G$3</f>
        <v>0</v>
      </c>
      <c r="AL114" s="3">
        <f>W114*Feuil2!$H$3</f>
        <v>0</v>
      </c>
      <c r="AM114" s="3">
        <f>X114*Feuil2!$I$2</f>
        <v>0</v>
      </c>
      <c r="AN114" s="3">
        <f>Y114*Feuil2!$J$3</f>
        <v>0</v>
      </c>
      <c r="AO114" s="3">
        <f>Z114*Feuil2!$K$3</f>
        <v>0</v>
      </c>
      <c r="AP114" s="3">
        <f>AA114*Feuil2!$L$3</f>
        <v>0</v>
      </c>
      <c r="AQ114" s="3">
        <f>AB114*Feuil2!$M$3</f>
        <v>0</v>
      </c>
      <c r="AR114" s="3">
        <f>AC114*Feuil2!$N$3</f>
        <v>868.9278316108846</v>
      </c>
    </row>
    <row r="115" spans="1:44" x14ac:dyDescent="0.35">
      <c r="A115" t="s">
        <v>233</v>
      </c>
      <c r="B115" t="s">
        <v>234</v>
      </c>
      <c r="C115">
        <v>0</v>
      </c>
      <c r="D115">
        <v>0</v>
      </c>
      <c r="E115">
        <v>161</v>
      </c>
      <c r="F115">
        <v>0</v>
      </c>
      <c r="G115">
        <v>32</v>
      </c>
      <c r="H115">
        <v>107</v>
      </c>
      <c r="I115">
        <v>482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782</v>
      </c>
      <c r="Q115" s="1">
        <f>C115/$C$434</f>
        <v>0</v>
      </c>
      <c r="R115" s="1">
        <f t="shared" si="19"/>
        <v>0</v>
      </c>
      <c r="S115" s="1">
        <f t="shared" si="23"/>
        <v>5.4652228520995286E-3</v>
      </c>
      <c r="T115" s="1">
        <f t="shared" si="24"/>
        <v>0</v>
      </c>
      <c r="U115" s="1">
        <f t="shared" si="25"/>
        <v>1.5254075698350653E-3</v>
      </c>
      <c r="V115" s="1">
        <f t="shared" si="26"/>
        <v>3.5818297459244133E-3</v>
      </c>
      <c r="W115" s="1">
        <f t="shared" si="27"/>
        <v>1.0793138967262304E-2</v>
      </c>
      <c r="X115" s="1">
        <f t="shared" si="28"/>
        <v>0</v>
      </c>
      <c r="Y115" s="1">
        <f t="shared" si="29"/>
        <v>0</v>
      </c>
      <c r="Z115" s="1">
        <f t="shared" si="20"/>
        <v>0</v>
      </c>
      <c r="AA115" s="1">
        <f t="shared" si="16"/>
        <v>0</v>
      </c>
      <c r="AB115" s="1">
        <f t="shared" si="17"/>
        <v>0</v>
      </c>
      <c r="AC115" s="1">
        <f t="shared" si="18"/>
        <v>2.059564067718045E-3</v>
      </c>
      <c r="AD115" s="1" t="str">
        <f t="shared" si="21"/>
        <v>FABS GARAGE ET PIECES</v>
      </c>
      <c r="AE115" s="1" t="str">
        <f t="shared" si="22"/>
        <v>3477</v>
      </c>
      <c r="AF115" s="3">
        <f>Q115*Feuil2!$B$3</f>
        <v>0</v>
      </c>
      <c r="AG115" s="3">
        <f>R115*Feuil2!$C$3</f>
        <v>0</v>
      </c>
      <c r="AH115" s="3">
        <f>S115*Feuil2!$D$3</f>
        <v>214.77123459723688</v>
      </c>
      <c r="AI115" s="3">
        <f>T115*Feuil2!$E$2</f>
        <v>0</v>
      </c>
      <c r="AJ115" s="3">
        <f>U115*Feuil2!$F$3</f>
        <v>38.971722757174184</v>
      </c>
      <c r="AK115" s="3">
        <f>V115*Feuil2!$G$3</f>
        <v>144.30375389147392</v>
      </c>
      <c r="AL115" s="3">
        <f>W115*Feuil2!$H$3</f>
        <v>392.41133413945988</v>
      </c>
      <c r="AM115" s="3">
        <f>X115*Feuil2!$I$2</f>
        <v>0</v>
      </c>
      <c r="AN115" s="3">
        <f>Y115*Feuil2!$J$3</f>
        <v>0</v>
      </c>
      <c r="AO115" s="3">
        <f>Z115*Feuil2!$K$3</f>
        <v>0</v>
      </c>
      <c r="AP115" s="3">
        <f>AA115*Feuil2!$L$3</f>
        <v>0</v>
      </c>
      <c r="AQ115" s="3">
        <f>AB115*Feuil2!$M$3</f>
        <v>0</v>
      </c>
      <c r="AR115" s="3">
        <f>AC115*Feuil2!$N$3</f>
        <v>862.31162984734999</v>
      </c>
    </row>
    <row r="116" spans="1:44" x14ac:dyDescent="0.35">
      <c r="A116" t="s">
        <v>235</v>
      </c>
      <c r="B116" t="s">
        <v>236</v>
      </c>
      <c r="C116">
        <v>106</v>
      </c>
      <c r="D116">
        <v>128</v>
      </c>
      <c r="E116">
        <v>110</v>
      </c>
      <c r="F116">
        <v>73</v>
      </c>
      <c r="G116">
        <v>0</v>
      </c>
      <c r="H116">
        <v>91</v>
      </c>
      <c r="I116">
        <v>0</v>
      </c>
      <c r="J116">
        <v>90</v>
      </c>
      <c r="K116">
        <v>86</v>
      </c>
      <c r="L116">
        <v>0</v>
      </c>
      <c r="M116">
        <v>90</v>
      </c>
      <c r="N116">
        <v>0</v>
      </c>
      <c r="O116">
        <v>774</v>
      </c>
      <c r="Q116" s="1">
        <f>C116/$C$434</f>
        <v>2.6167024611814657E-3</v>
      </c>
      <c r="R116" s="1">
        <f t="shared" si="19"/>
        <v>5.3958350897900685E-3</v>
      </c>
      <c r="S116" s="1">
        <f t="shared" si="23"/>
        <v>3.734003190875454E-3</v>
      </c>
      <c r="T116" s="1">
        <f t="shared" si="24"/>
        <v>2.9313737300726821E-3</v>
      </c>
      <c r="U116" s="1">
        <f t="shared" si="25"/>
        <v>0</v>
      </c>
      <c r="V116" s="1">
        <f t="shared" si="26"/>
        <v>3.046229036253473E-3</v>
      </c>
      <c r="W116" s="1">
        <f t="shared" si="27"/>
        <v>0</v>
      </c>
      <c r="X116" s="1">
        <f t="shared" si="28"/>
        <v>4.8082060049150551E-3</v>
      </c>
      <c r="Y116" s="1">
        <f t="shared" si="29"/>
        <v>2.2010083689504262E-3</v>
      </c>
      <c r="Z116" s="1">
        <f t="shared" si="20"/>
        <v>0</v>
      </c>
      <c r="AA116" s="1">
        <f t="shared" si="16"/>
        <v>2.2532108254262324E-3</v>
      </c>
      <c r="AB116" s="1">
        <f t="shared" si="17"/>
        <v>0</v>
      </c>
      <c r="AC116" s="1">
        <f t="shared" si="18"/>
        <v>2.0384943585853798E-3</v>
      </c>
      <c r="AD116" s="1" t="str">
        <f t="shared" si="21"/>
        <v>CARROSSERIE DU GRAND BOURG</v>
      </c>
      <c r="AE116" s="1" t="str">
        <f t="shared" si="22"/>
        <v>66248</v>
      </c>
      <c r="AF116" s="3">
        <f>Q116*Feuil2!$B$3</f>
        <v>92.56564022809745</v>
      </c>
      <c r="AG116" s="3">
        <f>R116*Feuil2!$C$3</f>
        <v>190.87723463451647</v>
      </c>
      <c r="AH116" s="3">
        <f>S116*Feuil2!$D$3</f>
        <v>146.73811059438543</v>
      </c>
      <c r="AI116" s="3">
        <f>T116*Feuil2!$E$2</f>
        <v>109.87668152431435</v>
      </c>
      <c r="AJ116" s="3">
        <f>U116*Feuil2!$F$3</f>
        <v>0</v>
      </c>
      <c r="AK116" s="3">
        <f>V116*Feuil2!$G$3</f>
        <v>122.72562246844977</v>
      </c>
      <c r="AL116" s="3">
        <f>W116*Feuil2!$H$3</f>
        <v>0</v>
      </c>
      <c r="AM116" s="3">
        <f>X116*Feuil2!$I$2</f>
        <v>102.71289667699541</v>
      </c>
      <c r="AN116" s="3">
        <f>Y116*Feuil2!$J$3</f>
        <v>92.998854451923336</v>
      </c>
      <c r="AO116" s="3">
        <f>Z116*Feuil2!$K$3</f>
        <v>0</v>
      </c>
      <c r="AP116" s="3">
        <f>AA116*Feuil2!$L$3</f>
        <v>81.921067521217751</v>
      </c>
      <c r="AQ116" s="3">
        <f>AB116*Feuil2!$M$3</f>
        <v>0</v>
      </c>
      <c r="AR116" s="3">
        <f>AC116*Feuil2!$N$3</f>
        <v>853.49002749597048</v>
      </c>
    </row>
    <row r="117" spans="1:44" x14ac:dyDescent="0.35">
      <c r="A117" t="s">
        <v>237</v>
      </c>
      <c r="B117" t="s">
        <v>238</v>
      </c>
      <c r="C117">
        <v>109</v>
      </c>
      <c r="D117">
        <v>0</v>
      </c>
      <c r="E117">
        <v>33</v>
      </c>
      <c r="F117">
        <v>26</v>
      </c>
      <c r="G117">
        <v>24</v>
      </c>
      <c r="H117">
        <v>16</v>
      </c>
      <c r="I117">
        <v>315</v>
      </c>
      <c r="J117">
        <v>0</v>
      </c>
      <c r="K117">
        <v>76</v>
      </c>
      <c r="L117">
        <v>157</v>
      </c>
      <c r="M117">
        <v>16</v>
      </c>
      <c r="N117">
        <v>0</v>
      </c>
      <c r="O117">
        <v>772</v>
      </c>
      <c r="Q117" s="1">
        <f>C117/$C$434</f>
        <v>2.6907600780073566E-3</v>
      </c>
      <c r="R117" s="1">
        <f t="shared" si="19"/>
        <v>0</v>
      </c>
      <c r="S117" s="1">
        <f t="shared" si="23"/>
        <v>1.1202009572626361E-3</v>
      </c>
      <c r="T117" s="1">
        <f t="shared" si="24"/>
        <v>1.0440509175601333E-3</v>
      </c>
      <c r="U117" s="1">
        <f t="shared" si="25"/>
        <v>1.1440556773762989E-3</v>
      </c>
      <c r="V117" s="1">
        <f t="shared" si="26"/>
        <v>5.3560070967094029E-4</v>
      </c>
      <c r="W117" s="1">
        <f t="shared" si="27"/>
        <v>7.0536074163643691E-3</v>
      </c>
      <c r="X117" s="1">
        <f t="shared" si="28"/>
        <v>0</v>
      </c>
      <c r="Y117" s="1">
        <f t="shared" si="29"/>
        <v>1.9450771632585162E-3</v>
      </c>
      <c r="Z117" s="1">
        <f t="shared" si="20"/>
        <v>3.9839626471782378E-3</v>
      </c>
      <c r="AA117" s="1">
        <f t="shared" si="16"/>
        <v>4.0057081340910797E-4</v>
      </c>
      <c r="AB117" s="1">
        <f t="shared" si="17"/>
        <v>0</v>
      </c>
      <c r="AC117" s="1">
        <f t="shared" si="18"/>
        <v>2.0332269313022133E-3</v>
      </c>
      <c r="AD117" s="1" t="str">
        <f t="shared" si="21"/>
        <v>SERVAGER</v>
      </c>
      <c r="AE117" s="1" t="str">
        <f t="shared" si="22"/>
        <v>3026</v>
      </c>
      <c r="AF117" s="3">
        <f>Q117*Feuil2!$B$3</f>
        <v>95.185422498704</v>
      </c>
      <c r="AG117" s="3">
        <f>R117*Feuil2!$C$3</f>
        <v>0</v>
      </c>
      <c r="AH117" s="3">
        <f>S117*Feuil2!$D$3</f>
        <v>44.021433178315625</v>
      </c>
      <c r="AI117" s="3">
        <f>T117*Feuil2!$E$2</f>
        <v>39.134160542906478</v>
      </c>
      <c r="AJ117" s="3">
        <f>U117*Feuil2!$F$3</f>
        <v>29.228792067880637</v>
      </c>
      <c r="AK117" s="3">
        <f>V117*Feuil2!$G$3</f>
        <v>21.578131423024136</v>
      </c>
      <c r="AL117" s="3">
        <f>W117*Feuil2!$H$3</f>
        <v>256.45139056831925</v>
      </c>
      <c r="AM117" s="3">
        <f>X117*Feuil2!$I$2</f>
        <v>0</v>
      </c>
      <c r="AN117" s="3">
        <f>Y117*Feuil2!$J$3</f>
        <v>82.185034166815967</v>
      </c>
      <c r="AO117" s="3">
        <f>Z117*Feuil2!$K$3</f>
        <v>160.50477161997563</v>
      </c>
      <c r="AP117" s="3">
        <f>AA117*Feuil2!$L$3</f>
        <v>14.563745337105376</v>
      </c>
      <c r="AQ117" s="3">
        <f>AB117*Feuil2!$M$3</f>
        <v>0</v>
      </c>
      <c r="AR117" s="3">
        <f>AC117*Feuil2!$N$3</f>
        <v>851.28462690812557</v>
      </c>
    </row>
    <row r="118" spans="1:44" x14ac:dyDescent="0.35">
      <c r="A118" t="s">
        <v>239</v>
      </c>
      <c r="B118" t="s">
        <v>240</v>
      </c>
      <c r="C118">
        <v>199</v>
      </c>
      <c r="D118">
        <v>0</v>
      </c>
      <c r="E118">
        <v>40</v>
      </c>
      <c r="F118">
        <v>37</v>
      </c>
      <c r="G118">
        <v>54</v>
      </c>
      <c r="H118">
        <v>0</v>
      </c>
      <c r="I118">
        <v>61</v>
      </c>
      <c r="J118">
        <v>0</v>
      </c>
      <c r="K118">
        <v>70</v>
      </c>
      <c r="L118">
        <v>72</v>
      </c>
      <c r="M118">
        <v>232</v>
      </c>
      <c r="N118">
        <v>0</v>
      </c>
      <c r="O118">
        <v>765</v>
      </c>
      <c r="Q118" s="1">
        <f>C118/$C$434</f>
        <v>4.9124885827840723E-3</v>
      </c>
      <c r="R118" s="1">
        <f t="shared" si="19"/>
        <v>0</v>
      </c>
      <c r="S118" s="1">
        <f t="shared" si="23"/>
        <v>1.3578193421365287E-3</v>
      </c>
      <c r="T118" s="1">
        <f t="shared" si="24"/>
        <v>1.4857647672971129E-3</v>
      </c>
      <c r="U118" s="1">
        <f t="shared" si="25"/>
        <v>2.5741252740966729E-3</v>
      </c>
      <c r="V118" s="1">
        <f t="shared" si="26"/>
        <v>0</v>
      </c>
      <c r="W118" s="1">
        <f t="shared" si="27"/>
        <v>1.3659366742800841E-3</v>
      </c>
      <c r="X118" s="1">
        <f t="shared" si="28"/>
        <v>0</v>
      </c>
      <c r="Y118" s="1">
        <f t="shared" si="29"/>
        <v>1.79151843984337E-3</v>
      </c>
      <c r="Z118" s="1">
        <f t="shared" si="20"/>
        <v>1.8270401948842874E-3</v>
      </c>
      <c r="AA118" s="1">
        <f t="shared" si="16"/>
        <v>5.8082767944320655E-3</v>
      </c>
      <c r="AB118" s="1">
        <f t="shared" si="17"/>
        <v>0</v>
      </c>
      <c r="AC118" s="1">
        <f t="shared" si="18"/>
        <v>2.0147909358111311E-3</v>
      </c>
      <c r="AD118" s="1" t="str">
        <f t="shared" si="21"/>
        <v>DE LA BALEINE</v>
      </c>
      <c r="AE118" s="1" t="str">
        <f t="shared" si="22"/>
        <v>3208</v>
      </c>
      <c r="AF118" s="3">
        <f>Q118*Feuil2!$B$3</f>
        <v>173.77889061689993</v>
      </c>
      <c r="AG118" s="3">
        <f>R118*Feuil2!$C$3</f>
        <v>0</v>
      </c>
      <c r="AH118" s="3">
        <f>S118*Feuil2!$D$3</f>
        <v>53.359312943412881</v>
      </c>
      <c r="AI118" s="3">
        <f>T118*Feuil2!$E$2</f>
        <v>55.690920772597678</v>
      </c>
      <c r="AJ118" s="3">
        <f>U118*Feuil2!$F$3</f>
        <v>65.764782152731442</v>
      </c>
      <c r="AK118" s="3">
        <f>V118*Feuil2!$G$3</f>
        <v>0</v>
      </c>
      <c r="AL118" s="3">
        <f>W118*Feuil2!$H$3</f>
        <v>49.662015316404677</v>
      </c>
      <c r="AM118" s="3">
        <f>X118*Feuil2!$I$2</f>
        <v>0</v>
      </c>
      <c r="AN118" s="3">
        <f>Y118*Feuil2!$J$3</f>
        <v>75.696741995751552</v>
      </c>
      <c r="AO118" s="3">
        <f>Z118*Feuil2!$K$3</f>
        <v>73.607283800243607</v>
      </c>
      <c r="AP118" s="3">
        <f>AA118*Feuil2!$L$3</f>
        <v>211.17430738802796</v>
      </c>
      <c r="AQ118" s="3">
        <f>AB118*Feuil2!$M$3</f>
        <v>0</v>
      </c>
      <c r="AR118" s="3">
        <f>AC118*Feuil2!$N$3</f>
        <v>843.56572485066852</v>
      </c>
    </row>
    <row r="119" spans="1:44" x14ac:dyDescent="0.35">
      <c r="A119" t="s">
        <v>241</v>
      </c>
      <c r="B119" t="s">
        <v>242</v>
      </c>
      <c r="C119">
        <v>39</v>
      </c>
      <c r="D119">
        <v>66</v>
      </c>
      <c r="E119">
        <v>0</v>
      </c>
      <c r="F119">
        <v>126</v>
      </c>
      <c r="G119">
        <v>26</v>
      </c>
      <c r="H119">
        <v>160</v>
      </c>
      <c r="I119">
        <v>155</v>
      </c>
      <c r="J119">
        <v>17</v>
      </c>
      <c r="K119">
        <v>0</v>
      </c>
      <c r="L119">
        <v>32</v>
      </c>
      <c r="M119">
        <v>120</v>
      </c>
      <c r="N119">
        <v>0</v>
      </c>
      <c r="O119">
        <v>741</v>
      </c>
      <c r="Q119" s="1">
        <f>C119/$C$434</f>
        <v>9.6274901873657701E-4</v>
      </c>
      <c r="R119" s="1">
        <f t="shared" si="19"/>
        <v>2.7822274681730038E-3</v>
      </c>
      <c r="S119" s="1">
        <f t="shared" si="23"/>
        <v>0</v>
      </c>
      <c r="T119" s="1">
        <f t="shared" si="24"/>
        <v>5.0596313697144919E-3</v>
      </c>
      <c r="U119" s="1">
        <f t="shared" si="25"/>
        <v>1.2393936504909906E-3</v>
      </c>
      <c r="V119" s="1">
        <f t="shared" si="26"/>
        <v>5.3560070967094029E-3</v>
      </c>
      <c r="W119" s="1">
        <f t="shared" si="27"/>
        <v>3.4708226969411976E-3</v>
      </c>
      <c r="X119" s="1">
        <f t="shared" si="28"/>
        <v>9.0821668981728814E-4</v>
      </c>
      <c r="Y119" s="1">
        <f t="shared" si="29"/>
        <v>0</v>
      </c>
      <c r="Z119" s="1">
        <f t="shared" si="20"/>
        <v>8.1201786439301664E-4</v>
      </c>
      <c r="AA119" s="1">
        <f t="shared" si="16"/>
        <v>3.0042811005683099E-3</v>
      </c>
      <c r="AB119" s="1">
        <f t="shared" si="17"/>
        <v>0</v>
      </c>
      <c r="AC119" s="1">
        <f t="shared" si="18"/>
        <v>1.9515818084131348E-3</v>
      </c>
      <c r="AD119" s="1" t="str">
        <f t="shared" si="21"/>
        <v>DAVID ALAIN</v>
      </c>
      <c r="AE119" s="1" t="str">
        <f t="shared" si="22"/>
        <v>3125</v>
      </c>
      <c r="AF119" s="3">
        <f>Q119*Feuil2!$B$3</f>
        <v>34.057169517884908</v>
      </c>
      <c r="AG119" s="3">
        <f>R119*Feuil2!$C$3</f>
        <v>98.421074108422545</v>
      </c>
      <c r="AH119" s="3">
        <f>S119*Feuil2!$D$3</f>
        <v>0</v>
      </c>
      <c r="AI119" s="3">
        <f>T119*Feuil2!$E$2</f>
        <v>189.6501626310083</v>
      </c>
      <c r="AJ119" s="3">
        <f>U119*Feuil2!$F$3</f>
        <v>31.664524740204026</v>
      </c>
      <c r="AK119" s="3">
        <f>V119*Feuil2!$G$3</f>
        <v>215.78131423024135</v>
      </c>
      <c r="AL119" s="3">
        <f>W119*Feuil2!$H$3</f>
        <v>126.19036678758566</v>
      </c>
      <c r="AM119" s="3">
        <f>X119*Feuil2!$I$2</f>
        <v>19.40132492787691</v>
      </c>
      <c r="AN119" s="3">
        <f>Y119*Feuil2!$J$3</f>
        <v>0</v>
      </c>
      <c r="AO119" s="3">
        <f>Z119*Feuil2!$K$3</f>
        <v>32.714348355663823</v>
      </c>
      <c r="AP119" s="3">
        <f>AA119*Feuil2!$L$3</f>
        <v>109.22809002829032</v>
      </c>
      <c r="AQ119" s="3">
        <f>AB119*Feuil2!$M$3</f>
        <v>0</v>
      </c>
      <c r="AR119" s="3">
        <f>AC119*Feuil2!$N$3</f>
        <v>817.10091779652987</v>
      </c>
    </row>
    <row r="120" spans="1:44" x14ac:dyDescent="0.35">
      <c r="A120" t="s">
        <v>243</v>
      </c>
      <c r="B120" t="s">
        <v>244</v>
      </c>
      <c r="C120">
        <v>0</v>
      </c>
      <c r="D120">
        <v>0</v>
      </c>
      <c r="E120">
        <v>12</v>
      </c>
      <c r="F120">
        <v>78</v>
      </c>
      <c r="G120">
        <v>55</v>
      </c>
      <c r="H120">
        <v>100</v>
      </c>
      <c r="I120">
        <v>396</v>
      </c>
      <c r="J120">
        <v>0</v>
      </c>
      <c r="K120">
        <v>69</v>
      </c>
      <c r="L120">
        <v>0</v>
      </c>
      <c r="M120">
        <v>8</v>
      </c>
      <c r="N120">
        <v>0</v>
      </c>
      <c r="O120">
        <v>718</v>
      </c>
      <c r="Q120" s="1">
        <f>C120/$C$434</f>
        <v>0</v>
      </c>
      <c r="R120" s="1">
        <f t="shared" si="19"/>
        <v>0</v>
      </c>
      <c r="S120" s="1">
        <f t="shared" si="23"/>
        <v>4.0734580264095862E-4</v>
      </c>
      <c r="T120" s="1">
        <f t="shared" si="24"/>
        <v>3.1321527526803998E-3</v>
      </c>
      <c r="U120" s="1">
        <f t="shared" si="25"/>
        <v>2.6217942606540185E-3</v>
      </c>
      <c r="V120" s="1">
        <f t="shared" si="26"/>
        <v>3.3475044354433769E-3</v>
      </c>
      <c r="W120" s="1">
        <f t="shared" si="27"/>
        <v>8.8673921805723505E-3</v>
      </c>
      <c r="X120" s="1">
        <f t="shared" si="28"/>
        <v>0</v>
      </c>
      <c r="Y120" s="1">
        <f t="shared" si="29"/>
        <v>1.7659253192741791E-3</v>
      </c>
      <c r="Z120" s="1">
        <f t="shared" si="20"/>
        <v>0</v>
      </c>
      <c r="AA120" s="1">
        <f t="shared" si="16"/>
        <v>2.0028540670455398E-4</v>
      </c>
      <c r="AB120" s="1">
        <f t="shared" si="17"/>
        <v>0</v>
      </c>
      <c r="AC120" s="1">
        <f t="shared" si="18"/>
        <v>1.8910063946567218E-3</v>
      </c>
      <c r="AD120" s="1" t="str">
        <f t="shared" si="21"/>
        <v>SARL CLASSIC MOTORS</v>
      </c>
      <c r="AE120" s="1" t="str">
        <f t="shared" si="22"/>
        <v>6214</v>
      </c>
      <c r="AF120" s="3">
        <f>Q120*Feuil2!$B$3</f>
        <v>0</v>
      </c>
      <c r="AG120" s="3">
        <f>R120*Feuil2!$C$3</f>
        <v>0</v>
      </c>
      <c r="AH120" s="3">
        <f>S120*Feuil2!$D$3</f>
        <v>16.007793883023865</v>
      </c>
      <c r="AI120" s="3">
        <f>T120*Feuil2!$E$2</f>
        <v>117.40248162871943</v>
      </c>
      <c r="AJ120" s="3">
        <f>U120*Feuil2!$F$3</f>
        <v>66.982648488893133</v>
      </c>
      <c r="AK120" s="3">
        <f>V120*Feuil2!$G$3</f>
        <v>134.86332139390086</v>
      </c>
      <c r="AL120" s="3">
        <f>W120*Feuil2!$H$3</f>
        <v>322.39603385731567</v>
      </c>
      <c r="AM120" s="3">
        <f>X120*Feuil2!$I$2</f>
        <v>0</v>
      </c>
      <c r="AN120" s="3">
        <f>Y120*Feuil2!$J$3</f>
        <v>74.615359967240821</v>
      </c>
      <c r="AO120" s="3">
        <f>Z120*Feuil2!$K$3</f>
        <v>0</v>
      </c>
      <c r="AP120" s="3">
        <f>AA120*Feuil2!$L$3</f>
        <v>7.2818726685526878</v>
      </c>
      <c r="AQ120" s="3">
        <f>AB120*Feuil2!$M$3</f>
        <v>0</v>
      </c>
      <c r="AR120" s="3">
        <f>AC120*Feuil2!$N$3</f>
        <v>791.73881103631368</v>
      </c>
    </row>
    <row r="121" spans="1:44" x14ac:dyDescent="0.35">
      <c r="A121" t="s">
        <v>245</v>
      </c>
      <c r="B121" t="s">
        <v>246</v>
      </c>
      <c r="C121">
        <v>248</v>
      </c>
      <c r="D121">
        <v>0</v>
      </c>
      <c r="E121">
        <v>55</v>
      </c>
      <c r="F121">
        <v>41</v>
      </c>
      <c r="G121">
        <v>68</v>
      </c>
      <c r="H121">
        <v>225</v>
      </c>
      <c r="I121">
        <v>26</v>
      </c>
      <c r="J121">
        <v>0</v>
      </c>
      <c r="K121">
        <v>43</v>
      </c>
      <c r="L121">
        <v>9</v>
      </c>
      <c r="M121">
        <v>0</v>
      </c>
      <c r="N121">
        <v>0</v>
      </c>
      <c r="O121">
        <v>715</v>
      </c>
      <c r="Q121" s="1">
        <f>C121/$C$434</f>
        <v>6.122096324273618E-3</v>
      </c>
      <c r="R121" s="1">
        <f t="shared" si="19"/>
        <v>0</v>
      </c>
      <c r="S121" s="1">
        <f t="shared" si="23"/>
        <v>1.867001595437727E-3</v>
      </c>
      <c r="T121" s="1">
        <f t="shared" si="24"/>
        <v>1.6463879853832871E-3</v>
      </c>
      <c r="U121" s="1">
        <f t="shared" si="25"/>
        <v>3.2414910858995136E-3</v>
      </c>
      <c r="V121" s="1">
        <f t="shared" si="26"/>
        <v>7.5318849797475981E-3</v>
      </c>
      <c r="W121" s="1">
        <f t="shared" si="27"/>
        <v>5.8220251690626538E-4</v>
      </c>
      <c r="X121" s="1">
        <f t="shared" si="28"/>
        <v>0</v>
      </c>
      <c r="Y121" s="1">
        <f t="shared" si="29"/>
        <v>1.1005041844752131E-3</v>
      </c>
      <c r="Z121" s="1">
        <f t="shared" si="20"/>
        <v>2.2838002436053592E-4</v>
      </c>
      <c r="AA121" s="1">
        <f t="shared" si="16"/>
        <v>0</v>
      </c>
      <c r="AB121" s="1">
        <f t="shared" si="17"/>
        <v>0</v>
      </c>
      <c r="AC121" s="1">
        <f t="shared" si="18"/>
        <v>1.8831052537319722E-3</v>
      </c>
      <c r="AD121" s="1" t="str">
        <f t="shared" si="21"/>
        <v>CARPIQUET CARROSSERIE</v>
      </c>
      <c r="AE121" s="1" t="str">
        <f t="shared" si="22"/>
        <v>3663</v>
      </c>
      <c r="AF121" s="3">
        <f>Q121*Feuil2!$B$3</f>
        <v>216.5686677034733</v>
      </c>
      <c r="AG121" s="3">
        <f>R121*Feuil2!$C$3</f>
        <v>0</v>
      </c>
      <c r="AH121" s="3">
        <f>S121*Feuil2!$D$3</f>
        <v>73.369055297192716</v>
      </c>
      <c r="AI121" s="3">
        <f>T121*Feuil2!$E$2</f>
        <v>61.71156085612175</v>
      </c>
      <c r="AJ121" s="3">
        <f>U121*Feuil2!$F$3</f>
        <v>82.814910858995134</v>
      </c>
      <c r="AK121" s="3">
        <f>V121*Feuil2!$G$3</f>
        <v>303.44247313627693</v>
      </c>
      <c r="AL121" s="3">
        <f>W121*Feuil2!$H$3</f>
        <v>21.167416364369206</v>
      </c>
      <c r="AM121" s="3">
        <f>X121*Feuil2!$I$2</f>
        <v>0</v>
      </c>
      <c r="AN121" s="3">
        <f>Y121*Feuil2!$J$3</f>
        <v>46.499427225961668</v>
      </c>
      <c r="AO121" s="3">
        <f>Z121*Feuil2!$K$3</f>
        <v>9.2009104750304509</v>
      </c>
      <c r="AP121" s="3">
        <f>AA121*Feuil2!$L$3</f>
        <v>0</v>
      </c>
      <c r="AQ121" s="3">
        <f>AB121*Feuil2!$M$3</f>
        <v>0</v>
      </c>
      <c r="AR121" s="3">
        <f>AC121*Feuil2!$N$3</f>
        <v>788.43071015454643</v>
      </c>
    </row>
    <row r="122" spans="1:44" x14ac:dyDescent="0.35">
      <c r="A122" t="s">
        <v>247</v>
      </c>
      <c r="B122" t="s">
        <v>248</v>
      </c>
      <c r="C122">
        <v>201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178</v>
      </c>
      <c r="L122">
        <v>60</v>
      </c>
      <c r="M122">
        <v>267</v>
      </c>
      <c r="N122">
        <v>0</v>
      </c>
      <c r="O122">
        <v>706</v>
      </c>
      <c r="Q122" s="1">
        <f>C122/$C$434</f>
        <v>4.9618603273346665E-3</v>
      </c>
      <c r="R122" s="1">
        <f t="shared" si="19"/>
        <v>0</v>
      </c>
      <c r="S122" s="1">
        <f t="shared" si="23"/>
        <v>0</v>
      </c>
      <c r="T122" s="1">
        <f t="shared" si="24"/>
        <v>0</v>
      </c>
      <c r="U122" s="1">
        <f t="shared" si="25"/>
        <v>0</v>
      </c>
      <c r="V122" s="1">
        <f t="shared" si="26"/>
        <v>0</v>
      </c>
      <c r="W122" s="1">
        <f t="shared" si="27"/>
        <v>0</v>
      </c>
      <c r="X122" s="1">
        <f t="shared" si="28"/>
        <v>0</v>
      </c>
      <c r="Y122" s="1">
        <f t="shared" si="29"/>
        <v>4.5555754613159985E-3</v>
      </c>
      <c r="Z122" s="1">
        <f t="shared" si="20"/>
        <v>1.5225334957369061E-3</v>
      </c>
      <c r="AA122" s="1">
        <f t="shared" si="16"/>
        <v>6.6845254487644893E-3</v>
      </c>
      <c r="AB122" s="1">
        <f t="shared" si="17"/>
        <v>0</v>
      </c>
      <c r="AC122" s="1">
        <f t="shared" si="18"/>
        <v>1.8594018309577235E-3</v>
      </c>
      <c r="AD122" s="1" t="str">
        <f t="shared" si="21"/>
        <v>SOCIETE AUTOMOBILE DU MORTAINA</v>
      </c>
      <c r="AE122" s="1" t="str">
        <f t="shared" si="22"/>
        <v>2024</v>
      </c>
      <c r="AF122" s="3">
        <f>Q122*Feuil2!$B$3</f>
        <v>175.52541213063765</v>
      </c>
      <c r="AG122" s="3">
        <f>R122*Feuil2!$C$3</f>
        <v>0</v>
      </c>
      <c r="AH122" s="3">
        <f>S122*Feuil2!$D$3</f>
        <v>0</v>
      </c>
      <c r="AI122" s="3">
        <f>T122*Feuil2!$E$2</f>
        <v>0</v>
      </c>
      <c r="AJ122" s="3">
        <f>U122*Feuil2!$F$3</f>
        <v>0</v>
      </c>
      <c r="AK122" s="3">
        <f>V122*Feuil2!$G$3</f>
        <v>0</v>
      </c>
      <c r="AL122" s="3">
        <f>W122*Feuil2!$H$3</f>
        <v>0</v>
      </c>
      <c r="AM122" s="3">
        <f>X122*Feuil2!$I$2</f>
        <v>0</v>
      </c>
      <c r="AN122" s="3">
        <f>Y122*Feuil2!$J$3</f>
        <v>192.48600107491109</v>
      </c>
      <c r="AO122" s="3">
        <f>Z122*Feuil2!$K$3</f>
        <v>61.339403166869673</v>
      </c>
      <c r="AP122" s="3">
        <f>AA122*Feuil2!$L$3</f>
        <v>243.03250031294596</v>
      </c>
      <c r="AQ122" s="3">
        <f>AB122*Feuil2!$M$3</f>
        <v>0</v>
      </c>
      <c r="AR122" s="3">
        <f>AC122*Feuil2!$N$3</f>
        <v>778.50640750924435</v>
      </c>
    </row>
    <row r="123" spans="1:44" x14ac:dyDescent="0.35">
      <c r="A123" t="s">
        <v>249</v>
      </c>
      <c r="B123" t="s">
        <v>250</v>
      </c>
      <c r="C123">
        <v>0</v>
      </c>
      <c r="D123">
        <v>71</v>
      </c>
      <c r="E123">
        <v>0</v>
      </c>
      <c r="F123">
        <v>142</v>
      </c>
      <c r="G123">
        <v>0</v>
      </c>
      <c r="H123">
        <v>105</v>
      </c>
      <c r="I123">
        <v>0</v>
      </c>
      <c r="J123">
        <v>0</v>
      </c>
      <c r="K123">
        <v>216</v>
      </c>
      <c r="L123">
        <v>171</v>
      </c>
      <c r="M123">
        <v>0</v>
      </c>
      <c r="N123">
        <v>0</v>
      </c>
      <c r="O123">
        <v>705</v>
      </c>
      <c r="Q123" s="1">
        <f>C123/$C$434</f>
        <v>0</v>
      </c>
      <c r="R123" s="1">
        <f t="shared" si="19"/>
        <v>2.9930022763679284E-3</v>
      </c>
      <c r="S123" s="1">
        <f t="shared" si="23"/>
        <v>0</v>
      </c>
      <c r="T123" s="1">
        <f t="shared" si="24"/>
        <v>5.7021242420591898E-3</v>
      </c>
      <c r="U123" s="1">
        <f t="shared" si="25"/>
        <v>0</v>
      </c>
      <c r="V123" s="1">
        <f t="shared" si="26"/>
        <v>3.5148796572155457E-3</v>
      </c>
      <c r="W123" s="1">
        <f t="shared" si="27"/>
        <v>0</v>
      </c>
      <c r="X123" s="1">
        <f t="shared" si="28"/>
        <v>0</v>
      </c>
      <c r="Y123" s="1">
        <f t="shared" si="29"/>
        <v>5.5281140429452565E-3</v>
      </c>
      <c r="Z123" s="1">
        <f t="shared" si="20"/>
        <v>4.3392204628501831E-3</v>
      </c>
      <c r="AA123" s="1">
        <f t="shared" si="16"/>
        <v>0</v>
      </c>
      <c r="AB123" s="1">
        <f t="shared" si="17"/>
        <v>0</v>
      </c>
      <c r="AC123" s="1">
        <f t="shared" si="18"/>
        <v>1.8567681173161405E-3</v>
      </c>
      <c r="AD123" s="1" t="str">
        <f t="shared" si="21"/>
        <v>AUTO-TEIX</v>
      </c>
      <c r="AE123" s="1" t="str">
        <f t="shared" si="22"/>
        <v>3634</v>
      </c>
      <c r="AF123" s="3">
        <f>Q123*Feuil2!$B$3</f>
        <v>0</v>
      </c>
      <c r="AG123" s="3">
        <f>R123*Feuil2!$C$3</f>
        <v>105.87721608633335</v>
      </c>
      <c r="AH123" s="3">
        <f>S123*Feuil2!$D$3</f>
        <v>0</v>
      </c>
      <c r="AI123" s="3">
        <f>T123*Feuil2!$E$2</f>
        <v>213.73272296510461</v>
      </c>
      <c r="AJ123" s="3">
        <f>U123*Feuil2!$F$3</f>
        <v>0</v>
      </c>
      <c r="AK123" s="3">
        <f>V123*Feuil2!$G$3</f>
        <v>141.6064874635959</v>
      </c>
      <c r="AL123" s="3">
        <f>W123*Feuil2!$H$3</f>
        <v>0</v>
      </c>
      <c r="AM123" s="3">
        <f>X123*Feuil2!$I$2</f>
        <v>0</v>
      </c>
      <c r="AN123" s="3">
        <f>Y123*Feuil2!$J$3</f>
        <v>233.57851815831907</v>
      </c>
      <c r="AO123" s="3">
        <f>Z123*Feuil2!$K$3</f>
        <v>174.81729902557859</v>
      </c>
      <c r="AP123" s="3">
        <f>AA123*Feuil2!$L$3</f>
        <v>0</v>
      </c>
      <c r="AQ123" s="3">
        <f>AB123*Feuil2!$M$3</f>
        <v>0</v>
      </c>
      <c r="AR123" s="3">
        <f>AC123*Feuil2!$N$3</f>
        <v>777.40370721532202</v>
      </c>
    </row>
    <row r="124" spans="1:44" x14ac:dyDescent="0.35">
      <c r="A124" t="s">
        <v>251</v>
      </c>
      <c r="B124" t="s">
        <v>252</v>
      </c>
      <c r="C124">
        <v>267</v>
      </c>
      <c r="D124">
        <v>15</v>
      </c>
      <c r="E124">
        <v>48</v>
      </c>
      <c r="F124">
        <v>15</v>
      </c>
      <c r="G124">
        <v>0</v>
      </c>
      <c r="H124">
        <v>0</v>
      </c>
      <c r="I124">
        <v>201</v>
      </c>
      <c r="J124">
        <v>0</v>
      </c>
      <c r="K124">
        <v>153</v>
      </c>
      <c r="L124">
        <v>0</v>
      </c>
      <c r="M124">
        <v>0</v>
      </c>
      <c r="N124">
        <v>0</v>
      </c>
      <c r="O124">
        <v>699</v>
      </c>
      <c r="Q124" s="1">
        <f>C124/$C$434</f>
        <v>6.591127897504258E-3</v>
      </c>
      <c r="R124" s="1">
        <f t="shared" si="19"/>
        <v>6.3232442458477367E-4</v>
      </c>
      <c r="S124" s="1">
        <f t="shared" si="23"/>
        <v>1.6293832105638345E-3</v>
      </c>
      <c r="T124" s="1">
        <f t="shared" si="24"/>
        <v>6.0233706782315388E-4</v>
      </c>
      <c r="U124" s="1">
        <f t="shared" si="25"/>
        <v>0</v>
      </c>
      <c r="V124" s="1">
        <f t="shared" si="26"/>
        <v>0</v>
      </c>
      <c r="W124" s="1">
        <f t="shared" si="27"/>
        <v>4.5008733037753598E-3</v>
      </c>
      <c r="X124" s="1">
        <f t="shared" si="28"/>
        <v>0</v>
      </c>
      <c r="Y124" s="1">
        <f t="shared" si="29"/>
        <v>3.9157474470862229E-3</v>
      </c>
      <c r="Z124" s="1">
        <f t="shared" si="20"/>
        <v>0</v>
      </c>
      <c r="AA124" s="1">
        <f t="shared" si="16"/>
        <v>0</v>
      </c>
      <c r="AB124" s="1">
        <f t="shared" si="17"/>
        <v>0</v>
      </c>
      <c r="AC124" s="1">
        <f t="shared" si="18"/>
        <v>1.8409658354666414E-3</v>
      </c>
      <c r="AD124" s="1" t="str">
        <f t="shared" si="21"/>
        <v>VILLE DE LISIEUX - Service Fin</v>
      </c>
      <c r="AE124" s="1" t="str">
        <f t="shared" si="22"/>
        <v>5827</v>
      </c>
      <c r="AF124" s="3">
        <f>Q124*Feuil2!$B$3</f>
        <v>233.16062208398131</v>
      </c>
      <c r="AG124" s="3">
        <f>R124*Feuil2!$C$3</f>
        <v>22.3684259337324</v>
      </c>
      <c r="AH124" s="3">
        <f>S124*Feuil2!$D$3</f>
        <v>64.03117553209546</v>
      </c>
      <c r="AI124" s="3">
        <f>T124*Feuil2!$E$2</f>
        <v>22.577400313215275</v>
      </c>
      <c r="AJ124" s="3">
        <f>U124*Feuil2!$F$3</f>
        <v>0</v>
      </c>
      <c r="AK124" s="3">
        <f>V124*Feuil2!$G$3</f>
        <v>0</v>
      </c>
      <c r="AL124" s="3">
        <f>W124*Feuil2!$H$3</f>
        <v>163.64041112454657</v>
      </c>
      <c r="AM124" s="3">
        <f>X124*Feuil2!$I$2</f>
        <v>0</v>
      </c>
      <c r="AN124" s="3">
        <f>Y124*Feuil2!$J$3</f>
        <v>165.45145036214265</v>
      </c>
      <c r="AO124" s="3">
        <f>Z124*Feuil2!$K$3</f>
        <v>0</v>
      </c>
      <c r="AP124" s="3">
        <f>AA124*Feuil2!$L$3</f>
        <v>0</v>
      </c>
      <c r="AQ124" s="3">
        <f>AB124*Feuil2!$M$3</f>
        <v>0</v>
      </c>
      <c r="AR124" s="3">
        <f>AC124*Feuil2!$N$3</f>
        <v>770.7875054517873</v>
      </c>
    </row>
    <row r="125" spans="1:44" x14ac:dyDescent="0.35">
      <c r="A125" t="s">
        <v>253</v>
      </c>
      <c r="B125" t="s">
        <v>254</v>
      </c>
      <c r="C125">
        <v>41</v>
      </c>
      <c r="D125">
        <v>13</v>
      </c>
      <c r="E125">
        <v>52</v>
      </c>
      <c r="F125">
        <v>0</v>
      </c>
      <c r="G125">
        <v>124</v>
      </c>
      <c r="H125">
        <v>0</v>
      </c>
      <c r="I125">
        <v>278</v>
      </c>
      <c r="J125">
        <v>0</v>
      </c>
      <c r="K125">
        <v>0</v>
      </c>
      <c r="L125">
        <v>60</v>
      </c>
      <c r="M125">
        <v>122</v>
      </c>
      <c r="N125">
        <v>0</v>
      </c>
      <c r="O125">
        <v>690</v>
      </c>
      <c r="Q125" s="1">
        <f>C125/$C$434</f>
        <v>1.0121207632871707E-3</v>
      </c>
      <c r="R125" s="1">
        <f t="shared" si="19"/>
        <v>5.4801450130680378E-4</v>
      </c>
      <c r="S125" s="1">
        <f t="shared" si="23"/>
        <v>1.7651651447774873E-3</v>
      </c>
      <c r="T125" s="1">
        <f t="shared" si="24"/>
        <v>0</v>
      </c>
      <c r="U125" s="1">
        <f t="shared" si="25"/>
        <v>5.9109543331108778E-3</v>
      </c>
      <c r="V125" s="1">
        <f t="shared" si="26"/>
        <v>0</v>
      </c>
      <c r="W125" s="1">
        <f t="shared" si="27"/>
        <v>6.2250884499977606E-3</v>
      </c>
      <c r="X125" s="1">
        <f t="shared" si="28"/>
        <v>0</v>
      </c>
      <c r="Y125" s="1">
        <f t="shared" si="29"/>
        <v>0</v>
      </c>
      <c r="Z125" s="1">
        <f t="shared" si="20"/>
        <v>1.5225334957369061E-3</v>
      </c>
      <c r="AA125" s="1">
        <f t="shared" si="16"/>
        <v>3.0543524522444482E-3</v>
      </c>
      <c r="AB125" s="1">
        <f t="shared" si="17"/>
        <v>0</v>
      </c>
      <c r="AC125" s="1">
        <f t="shared" si="18"/>
        <v>1.8172624126923927E-3</v>
      </c>
      <c r="AD125" s="1" t="str">
        <f t="shared" si="21"/>
        <v>AUTOMOBILES RS</v>
      </c>
      <c r="AE125" s="1" t="str">
        <f t="shared" si="22"/>
        <v>3784</v>
      </c>
      <c r="AF125" s="3">
        <f>Q125*Feuil2!$B$3</f>
        <v>35.803691031622598</v>
      </c>
      <c r="AG125" s="3">
        <f>R125*Feuil2!$C$3</f>
        <v>19.385969142568079</v>
      </c>
      <c r="AH125" s="3">
        <f>S125*Feuil2!$D$3</f>
        <v>69.367106826436739</v>
      </c>
      <c r="AI125" s="3">
        <f>T125*Feuil2!$E$2</f>
        <v>0</v>
      </c>
      <c r="AJ125" s="3">
        <f>U125*Feuil2!$F$3</f>
        <v>151.01542568404997</v>
      </c>
      <c r="AK125" s="3">
        <f>V125*Feuil2!$G$3</f>
        <v>0</v>
      </c>
      <c r="AL125" s="3">
        <f>W125*Feuil2!$H$3</f>
        <v>226.3285288190246</v>
      </c>
      <c r="AM125" s="3">
        <f>X125*Feuil2!$I$2</f>
        <v>0</v>
      </c>
      <c r="AN125" s="3">
        <f>Y125*Feuil2!$J$3</f>
        <v>0</v>
      </c>
      <c r="AO125" s="3">
        <f>Z125*Feuil2!$K$3</f>
        <v>61.339403166869673</v>
      </c>
      <c r="AP125" s="3">
        <f>AA125*Feuil2!$L$3</f>
        <v>111.0485581954285</v>
      </c>
      <c r="AQ125" s="3">
        <f>AB125*Feuil2!$M$3</f>
        <v>0</v>
      </c>
      <c r="AR125" s="3">
        <f>AC125*Feuil2!$N$3</f>
        <v>760.86320280648533</v>
      </c>
    </row>
    <row r="126" spans="1:44" x14ac:dyDescent="0.35">
      <c r="A126" t="s">
        <v>255</v>
      </c>
      <c r="B126" t="s">
        <v>256</v>
      </c>
      <c r="C126">
        <v>180</v>
      </c>
      <c r="D126">
        <v>96</v>
      </c>
      <c r="E126">
        <v>0</v>
      </c>
      <c r="F126">
        <v>262</v>
      </c>
      <c r="G126">
        <v>0</v>
      </c>
      <c r="H126">
        <v>0</v>
      </c>
      <c r="I126">
        <v>11</v>
      </c>
      <c r="J126">
        <v>0</v>
      </c>
      <c r="K126">
        <v>0</v>
      </c>
      <c r="L126">
        <v>140</v>
      </c>
      <c r="M126">
        <v>0</v>
      </c>
      <c r="N126">
        <v>0</v>
      </c>
      <c r="O126">
        <v>689</v>
      </c>
      <c r="Q126" s="1">
        <f>C126/$C$434</f>
        <v>4.4434570095534323E-3</v>
      </c>
      <c r="R126" s="1">
        <f t="shared" si="19"/>
        <v>4.0468763173425511E-3</v>
      </c>
      <c r="S126" s="1">
        <f t="shared" si="23"/>
        <v>0</v>
      </c>
      <c r="T126" s="1">
        <f t="shared" si="24"/>
        <v>1.0520820784644421E-2</v>
      </c>
      <c r="U126" s="1">
        <f t="shared" si="25"/>
        <v>0</v>
      </c>
      <c r="V126" s="1">
        <f t="shared" si="26"/>
        <v>0</v>
      </c>
      <c r="W126" s="1">
        <f t="shared" si="27"/>
        <v>2.4631644946034303E-4</v>
      </c>
      <c r="X126" s="1">
        <f t="shared" si="28"/>
        <v>0</v>
      </c>
      <c r="Y126" s="1">
        <f t="shared" si="29"/>
        <v>0</v>
      </c>
      <c r="Z126" s="1">
        <f t="shared" si="20"/>
        <v>3.552578156719448E-3</v>
      </c>
      <c r="AA126" s="1">
        <f t="shared" si="16"/>
        <v>0</v>
      </c>
      <c r="AB126" s="1">
        <f t="shared" si="17"/>
        <v>0</v>
      </c>
      <c r="AC126" s="1">
        <f t="shared" si="18"/>
        <v>1.8146286990508096E-3</v>
      </c>
      <c r="AD126" s="1" t="str">
        <f t="shared" si="21"/>
        <v>GARAGE DEMIEUX BRUNO</v>
      </c>
      <c r="AE126" s="1" t="str">
        <f t="shared" si="22"/>
        <v>2959</v>
      </c>
      <c r="AF126" s="3">
        <f>Q126*Feuil2!$B$3</f>
        <v>157.18693623639189</v>
      </c>
      <c r="AG126" s="3">
        <f>R126*Feuil2!$C$3</f>
        <v>143.15792597588737</v>
      </c>
      <c r="AH126" s="3">
        <f>S126*Feuil2!$D$3</f>
        <v>0</v>
      </c>
      <c r="AI126" s="3">
        <f>T126*Feuil2!$E$2</f>
        <v>394.35192547082681</v>
      </c>
      <c r="AJ126" s="3">
        <f>U126*Feuil2!$F$3</f>
        <v>0</v>
      </c>
      <c r="AK126" s="3">
        <f>V126*Feuil2!$G$3</f>
        <v>0</v>
      </c>
      <c r="AL126" s="3">
        <f>W126*Feuil2!$H$3</f>
        <v>8.955445384925433</v>
      </c>
      <c r="AM126" s="3">
        <f>X126*Feuil2!$I$2</f>
        <v>0</v>
      </c>
      <c r="AN126" s="3">
        <f>Y126*Feuil2!$J$3</f>
        <v>0</v>
      </c>
      <c r="AO126" s="3">
        <f>Z126*Feuil2!$K$3</f>
        <v>143.12527405602924</v>
      </c>
      <c r="AP126" s="3">
        <f>AA126*Feuil2!$L$3</f>
        <v>0</v>
      </c>
      <c r="AQ126" s="3">
        <f>AB126*Feuil2!$M$3</f>
        <v>0</v>
      </c>
      <c r="AR126" s="3">
        <f>AC126*Feuil2!$N$3</f>
        <v>759.76050251256288</v>
      </c>
    </row>
    <row r="127" spans="1:44" x14ac:dyDescent="0.35">
      <c r="A127" t="s">
        <v>257</v>
      </c>
      <c r="B127" t="s">
        <v>258</v>
      </c>
      <c r="C127">
        <v>32</v>
      </c>
      <c r="D127">
        <v>484</v>
      </c>
      <c r="E127">
        <v>0</v>
      </c>
      <c r="F127">
        <v>79</v>
      </c>
      <c r="G127">
        <v>0</v>
      </c>
      <c r="H127">
        <v>0</v>
      </c>
      <c r="I127">
        <v>0</v>
      </c>
      <c r="J127">
        <v>0</v>
      </c>
      <c r="K127">
        <v>66</v>
      </c>
      <c r="L127">
        <v>17</v>
      </c>
      <c r="M127">
        <v>0</v>
      </c>
      <c r="N127">
        <v>0</v>
      </c>
      <c r="O127">
        <v>678</v>
      </c>
      <c r="Q127" s="1">
        <f>C127/$C$434</f>
        <v>7.8994791280949915E-4</v>
      </c>
      <c r="R127" s="1">
        <f t="shared" si="19"/>
        <v>2.0403001433268696E-2</v>
      </c>
      <c r="S127" s="1">
        <f t="shared" si="23"/>
        <v>0</v>
      </c>
      <c r="T127" s="1">
        <f t="shared" si="24"/>
        <v>3.1723085572019434E-3</v>
      </c>
      <c r="U127" s="1">
        <f t="shared" si="25"/>
        <v>0</v>
      </c>
      <c r="V127" s="1">
        <f t="shared" si="26"/>
        <v>0</v>
      </c>
      <c r="W127" s="1">
        <f t="shared" si="27"/>
        <v>0</v>
      </c>
      <c r="X127" s="1">
        <f t="shared" si="28"/>
        <v>0</v>
      </c>
      <c r="Y127" s="1">
        <f t="shared" si="29"/>
        <v>1.6891459575666061E-3</v>
      </c>
      <c r="Z127" s="1">
        <f t="shared" si="20"/>
        <v>4.3138449045879011E-4</v>
      </c>
      <c r="AA127" s="1">
        <f t="shared" si="16"/>
        <v>0</v>
      </c>
      <c r="AB127" s="1">
        <f t="shared" si="17"/>
        <v>0</v>
      </c>
      <c r="AC127" s="1">
        <f t="shared" si="18"/>
        <v>1.7856578489933946E-3</v>
      </c>
      <c r="AD127" s="1" t="str">
        <f t="shared" si="21"/>
        <v>MASSA PERE ET FILS</v>
      </c>
      <c r="AE127" s="1" t="str">
        <f t="shared" si="22"/>
        <v>3021</v>
      </c>
      <c r="AF127" s="3">
        <f>Q127*Feuil2!$B$3</f>
        <v>27.944344219803007</v>
      </c>
      <c r="AG127" s="3">
        <f>R127*Feuil2!$C$3</f>
        <v>721.75454346176537</v>
      </c>
      <c r="AH127" s="3">
        <f>S127*Feuil2!$D$3</f>
        <v>0</v>
      </c>
      <c r="AI127" s="3">
        <f>T127*Feuil2!$E$2</f>
        <v>118.90764164960045</v>
      </c>
      <c r="AJ127" s="3">
        <f>U127*Feuil2!$F$3</f>
        <v>0</v>
      </c>
      <c r="AK127" s="3">
        <f>V127*Feuil2!$G$3</f>
        <v>0</v>
      </c>
      <c r="AL127" s="3">
        <f>W127*Feuil2!$H$3</f>
        <v>0</v>
      </c>
      <c r="AM127" s="3">
        <f>X127*Feuil2!$I$2</f>
        <v>0</v>
      </c>
      <c r="AN127" s="3">
        <f>Y127*Feuil2!$J$3</f>
        <v>71.371213881708599</v>
      </c>
      <c r="AO127" s="3">
        <f>Z127*Feuil2!$K$3</f>
        <v>17.379497563946408</v>
      </c>
      <c r="AP127" s="3">
        <f>AA127*Feuil2!$L$3</f>
        <v>0</v>
      </c>
      <c r="AQ127" s="3">
        <f>AB127*Feuil2!$M$3</f>
        <v>0</v>
      </c>
      <c r="AR127" s="3">
        <f>AC127*Feuil2!$N$3</f>
        <v>747.63079927941601</v>
      </c>
    </row>
    <row r="128" spans="1:44" x14ac:dyDescent="0.35">
      <c r="A128" t="s">
        <v>259</v>
      </c>
      <c r="B128" t="s">
        <v>260</v>
      </c>
      <c r="C128">
        <v>0</v>
      </c>
      <c r="D128">
        <v>59</v>
      </c>
      <c r="E128">
        <v>150</v>
      </c>
      <c r="F128">
        <v>0</v>
      </c>
      <c r="G128">
        <v>89</v>
      </c>
      <c r="H128">
        <v>0</v>
      </c>
      <c r="I128">
        <v>193</v>
      </c>
      <c r="J128">
        <v>0</v>
      </c>
      <c r="K128">
        <v>154</v>
      </c>
      <c r="L128">
        <v>12</v>
      </c>
      <c r="M128">
        <v>15</v>
      </c>
      <c r="N128">
        <v>0</v>
      </c>
      <c r="O128">
        <v>672</v>
      </c>
      <c r="Q128" s="1">
        <f>C128/$C$434</f>
        <v>0</v>
      </c>
      <c r="R128" s="1">
        <f t="shared" si="19"/>
        <v>2.4871427367001097E-3</v>
      </c>
      <c r="S128" s="1">
        <f t="shared" si="23"/>
        <v>5.0918225330119828E-3</v>
      </c>
      <c r="T128" s="1">
        <f t="shared" si="24"/>
        <v>0</v>
      </c>
      <c r="U128" s="1">
        <f t="shared" si="25"/>
        <v>4.2425398036037756E-3</v>
      </c>
      <c r="V128" s="1">
        <f t="shared" si="26"/>
        <v>0</v>
      </c>
      <c r="W128" s="1">
        <f t="shared" si="27"/>
        <v>4.3217340678042004E-3</v>
      </c>
      <c r="X128" s="1">
        <f t="shared" si="28"/>
        <v>0</v>
      </c>
      <c r="Y128" s="1">
        <f t="shared" si="29"/>
        <v>3.9413405676554146E-3</v>
      </c>
      <c r="Z128" s="1">
        <f t="shared" si="20"/>
        <v>3.0450669914738123E-4</v>
      </c>
      <c r="AA128" s="1">
        <f t="shared" si="16"/>
        <v>3.7553513757103874E-4</v>
      </c>
      <c r="AB128" s="1">
        <f t="shared" si="17"/>
        <v>0</v>
      </c>
      <c r="AC128" s="1">
        <f t="shared" si="18"/>
        <v>1.7698555671438955E-3</v>
      </c>
      <c r="AD128" s="1" t="str">
        <f t="shared" si="21"/>
        <v>AUTO-SERVICES</v>
      </c>
      <c r="AE128" s="1" t="str">
        <f t="shared" si="22"/>
        <v>5151</v>
      </c>
      <c r="AF128" s="3">
        <f>Q128*Feuil2!$B$3</f>
        <v>0</v>
      </c>
      <c r="AG128" s="3">
        <f>R128*Feuil2!$C$3</f>
        <v>87.982475339347445</v>
      </c>
      <c r="AH128" s="3">
        <f>S128*Feuil2!$D$3</f>
        <v>200.09742353779831</v>
      </c>
      <c r="AI128" s="3">
        <f>T128*Feuil2!$E$2</f>
        <v>0</v>
      </c>
      <c r="AJ128" s="3">
        <f>U128*Feuil2!$F$3</f>
        <v>108.39010391839071</v>
      </c>
      <c r="AK128" s="3">
        <f>V128*Feuil2!$G$3</f>
        <v>0</v>
      </c>
      <c r="AL128" s="3">
        <f>W128*Feuil2!$H$3</f>
        <v>157.12735993550987</v>
      </c>
      <c r="AM128" s="3">
        <f>X128*Feuil2!$I$2</f>
        <v>0</v>
      </c>
      <c r="AN128" s="3">
        <f>Y128*Feuil2!$J$3</f>
        <v>166.53283239065343</v>
      </c>
      <c r="AO128" s="3">
        <f>Z128*Feuil2!$K$3</f>
        <v>12.267880633373935</v>
      </c>
      <c r="AP128" s="3">
        <f>AA128*Feuil2!$L$3</f>
        <v>13.653511253536291</v>
      </c>
      <c r="AQ128" s="3">
        <f>AB128*Feuil2!$M$3</f>
        <v>0</v>
      </c>
      <c r="AR128" s="3">
        <f>AC128*Feuil2!$N$3</f>
        <v>741.01459751588129</v>
      </c>
    </row>
    <row r="129" spans="1:44" x14ac:dyDescent="0.35">
      <c r="A129" t="s">
        <v>261</v>
      </c>
      <c r="B129" t="s">
        <v>262</v>
      </c>
      <c r="C129">
        <v>29</v>
      </c>
      <c r="D129">
        <v>0</v>
      </c>
      <c r="E129">
        <v>74</v>
      </c>
      <c r="F129">
        <v>0</v>
      </c>
      <c r="G129">
        <v>84</v>
      </c>
      <c r="H129">
        <v>33</v>
      </c>
      <c r="I129">
        <v>96</v>
      </c>
      <c r="J129">
        <v>0</v>
      </c>
      <c r="K129">
        <v>16</v>
      </c>
      <c r="L129">
        <v>0</v>
      </c>
      <c r="M129">
        <v>335</v>
      </c>
      <c r="N129">
        <v>0</v>
      </c>
      <c r="O129">
        <v>667</v>
      </c>
      <c r="Q129" s="1">
        <f>C129/$C$434</f>
        <v>7.1589029598360856E-4</v>
      </c>
      <c r="R129" s="1">
        <f t="shared" si="19"/>
        <v>0</v>
      </c>
      <c r="S129" s="1">
        <f t="shared" si="23"/>
        <v>2.5119657829525783E-3</v>
      </c>
      <c r="T129" s="1">
        <f t="shared" si="24"/>
        <v>0</v>
      </c>
      <c r="U129" s="1">
        <f t="shared" si="25"/>
        <v>4.0041948708170461E-3</v>
      </c>
      <c r="V129" s="1">
        <f t="shared" si="26"/>
        <v>1.1046764636963144E-3</v>
      </c>
      <c r="W129" s="1">
        <f t="shared" si="27"/>
        <v>2.1496708316539031E-3</v>
      </c>
      <c r="X129" s="1">
        <f t="shared" si="28"/>
        <v>0</v>
      </c>
      <c r="Y129" s="1">
        <f t="shared" si="29"/>
        <v>4.0948992910705602E-4</v>
      </c>
      <c r="Z129" s="1">
        <f t="shared" si="20"/>
        <v>0</v>
      </c>
      <c r="AA129" s="1">
        <f t="shared" si="16"/>
        <v>8.3869514057531985E-3</v>
      </c>
      <c r="AB129" s="1">
        <f t="shared" si="17"/>
        <v>0</v>
      </c>
      <c r="AC129" s="1">
        <f t="shared" si="18"/>
        <v>1.7566869989359796E-3</v>
      </c>
      <c r="AD129" s="1" t="str">
        <f t="shared" si="21"/>
        <v>JF AUTOMOBILE</v>
      </c>
      <c r="AE129" s="1" t="str">
        <f t="shared" si="22"/>
        <v>3470</v>
      </c>
      <c r="AF129" s="3">
        <f>Q129*Feuil2!$B$3</f>
        <v>25.324561949196472</v>
      </c>
      <c r="AG129" s="3">
        <f>R129*Feuil2!$C$3</f>
        <v>0</v>
      </c>
      <c r="AH129" s="3">
        <f>S129*Feuil2!$D$3</f>
        <v>98.714728945313837</v>
      </c>
      <c r="AI129" s="3">
        <f>T129*Feuil2!$E$2</f>
        <v>0</v>
      </c>
      <c r="AJ129" s="3">
        <f>U129*Feuil2!$F$3</f>
        <v>102.30077223758222</v>
      </c>
      <c r="AK129" s="3">
        <f>V129*Feuil2!$G$3</f>
        <v>44.504896059987281</v>
      </c>
      <c r="AL129" s="3">
        <f>W129*Feuil2!$H$3</f>
        <v>78.156614268440151</v>
      </c>
      <c r="AM129" s="3">
        <f>X129*Feuil2!$I$2</f>
        <v>0</v>
      </c>
      <c r="AN129" s="3">
        <f>Y129*Feuil2!$J$3</f>
        <v>17.302112456171784</v>
      </c>
      <c r="AO129" s="3">
        <f>Z129*Feuil2!$K$3</f>
        <v>0</v>
      </c>
      <c r="AP129" s="3">
        <f>AA129*Feuil2!$L$3</f>
        <v>304.92841799564383</v>
      </c>
      <c r="AQ129" s="3">
        <f>AB129*Feuil2!$M$3</f>
        <v>0</v>
      </c>
      <c r="AR129" s="3">
        <f>AC129*Feuil2!$N$3</f>
        <v>735.50109604626914</v>
      </c>
    </row>
    <row r="130" spans="1:44" x14ac:dyDescent="0.35">
      <c r="A130" t="s">
        <v>263</v>
      </c>
      <c r="B130" t="s">
        <v>264</v>
      </c>
      <c r="C130">
        <v>44</v>
      </c>
      <c r="D130">
        <v>96</v>
      </c>
      <c r="E130">
        <v>35</v>
      </c>
      <c r="F130">
        <v>84</v>
      </c>
      <c r="G130">
        <v>79</v>
      </c>
      <c r="H130">
        <v>37</v>
      </c>
      <c r="I130">
        <v>119</v>
      </c>
      <c r="J130">
        <v>49</v>
      </c>
      <c r="K130">
        <v>0</v>
      </c>
      <c r="L130">
        <v>76</v>
      </c>
      <c r="M130">
        <v>32</v>
      </c>
      <c r="N130">
        <v>0</v>
      </c>
      <c r="O130">
        <v>651</v>
      </c>
      <c r="Q130" s="1">
        <f>C130/$C$434</f>
        <v>1.0861783801130614E-3</v>
      </c>
      <c r="R130" s="1">
        <f t="shared" si="19"/>
        <v>4.0468763173425511E-3</v>
      </c>
      <c r="S130" s="1">
        <f t="shared" si="23"/>
        <v>1.1880919243694625E-3</v>
      </c>
      <c r="T130" s="1">
        <f t="shared" si="24"/>
        <v>3.3730875798096615E-3</v>
      </c>
      <c r="U130" s="1">
        <f t="shared" si="25"/>
        <v>3.7658499380303174E-3</v>
      </c>
      <c r="V130" s="1">
        <f t="shared" si="26"/>
        <v>1.2385766411140496E-3</v>
      </c>
      <c r="W130" s="1">
        <f t="shared" si="27"/>
        <v>2.6646961350709837E-3</v>
      </c>
      <c r="X130" s="1">
        <f t="shared" si="28"/>
        <v>2.617801047120419E-3</v>
      </c>
      <c r="Y130" s="1">
        <f t="shared" si="29"/>
        <v>0</v>
      </c>
      <c r="Z130" s="1">
        <f t="shared" si="20"/>
        <v>1.9285424279334145E-3</v>
      </c>
      <c r="AA130" s="1">
        <f t="shared" si="16"/>
        <v>8.0114162681821594E-4</v>
      </c>
      <c r="AB130" s="1">
        <f t="shared" si="17"/>
        <v>0</v>
      </c>
      <c r="AC130" s="1">
        <f t="shared" si="18"/>
        <v>1.7145475806706488E-3</v>
      </c>
      <c r="AD130" s="1" t="str">
        <f t="shared" si="21"/>
        <v>AD AUTOMOBILES</v>
      </c>
      <c r="AE130" s="1" t="str">
        <f t="shared" si="22"/>
        <v>3457</v>
      </c>
      <c r="AF130" s="3">
        <f>Q130*Feuil2!$B$3</f>
        <v>38.423473302229134</v>
      </c>
      <c r="AG130" s="3">
        <f>R130*Feuil2!$C$3</f>
        <v>143.15792597588737</v>
      </c>
      <c r="AH130" s="3">
        <f>S130*Feuil2!$D$3</f>
        <v>46.689398825486272</v>
      </c>
      <c r="AI130" s="3">
        <f>T130*Feuil2!$E$2</f>
        <v>126.43344175400554</v>
      </c>
      <c r="AJ130" s="3">
        <f>U130*Feuil2!$F$3</f>
        <v>96.211440556773766</v>
      </c>
      <c r="AK130" s="3">
        <f>V130*Feuil2!$G$3</f>
        <v>49.899428915743322</v>
      </c>
      <c r="AL130" s="3">
        <f>W130*Feuil2!$H$3</f>
        <v>96.881636436920601</v>
      </c>
      <c r="AM130" s="3">
        <f>X130*Feuil2!$I$2</f>
        <v>55.921465968586389</v>
      </c>
      <c r="AN130" s="3">
        <f>Y130*Feuil2!$J$3</f>
        <v>0</v>
      </c>
      <c r="AO130" s="3">
        <f>Z130*Feuil2!$K$3</f>
        <v>77.696577344701581</v>
      </c>
      <c r="AP130" s="3">
        <f>AA130*Feuil2!$L$3</f>
        <v>29.127490674210751</v>
      </c>
      <c r="AQ130" s="3">
        <f>AB130*Feuil2!$M$3</f>
        <v>0</v>
      </c>
      <c r="AR130" s="3">
        <f>AC130*Feuil2!$N$3</f>
        <v>717.85789134351</v>
      </c>
    </row>
    <row r="131" spans="1:44" x14ac:dyDescent="0.35">
      <c r="A131" t="s">
        <v>265</v>
      </c>
      <c r="B131" t="s">
        <v>266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214</v>
      </c>
      <c r="I131">
        <v>0</v>
      </c>
      <c r="J131">
        <v>204</v>
      </c>
      <c r="K131">
        <v>3</v>
      </c>
      <c r="L131">
        <v>200</v>
      </c>
      <c r="M131">
        <v>28</v>
      </c>
      <c r="N131">
        <v>0</v>
      </c>
      <c r="O131">
        <v>649</v>
      </c>
      <c r="Q131" s="1">
        <f>C131/$C$434</f>
        <v>0</v>
      </c>
      <c r="R131" s="1">
        <f t="shared" si="19"/>
        <v>0</v>
      </c>
      <c r="S131" s="1">
        <f t="shared" si="23"/>
        <v>0</v>
      </c>
      <c r="T131" s="1">
        <f t="shared" si="24"/>
        <v>0</v>
      </c>
      <c r="U131" s="1">
        <f t="shared" si="25"/>
        <v>0</v>
      </c>
      <c r="V131" s="1">
        <f t="shared" si="26"/>
        <v>7.1636594918488266E-3</v>
      </c>
      <c r="W131" s="1">
        <f t="shared" si="27"/>
        <v>0</v>
      </c>
      <c r="X131" s="1">
        <f t="shared" si="28"/>
        <v>1.0898600277807457E-2</v>
      </c>
      <c r="Y131" s="1">
        <f t="shared" si="29"/>
        <v>7.677936170757301E-5</v>
      </c>
      <c r="Z131" s="1">
        <f t="shared" si="20"/>
        <v>5.0751116524563539E-3</v>
      </c>
      <c r="AA131" s="1">
        <f t="shared" ref="AA131:AA194" si="30">M131/M$434</f>
        <v>7.0099892346593901E-4</v>
      </c>
      <c r="AB131" s="1">
        <f t="shared" ref="AB131:AB194" si="31">N131/N$434</f>
        <v>0</v>
      </c>
      <c r="AC131" s="1">
        <f t="shared" ref="AC131:AC194" si="32">O131/O$434</f>
        <v>1.7092801533874825E-3</v>
      </c>
      <c r="AD131" s="1" t="str">
        <f t="shared" si="21"/>
        <v>LAUVRIERE SARL</v>
      </c>
      <c r="AE131" s="1" t="str">
        <f t="shared" si="22"/>
        <v>5131</v>
      </c>
      <c r="AF131" s="3">
        <f>Q131*Feuil2!$B$3</f>
        <v>0</v>
      </c>
      <c r="AG131" s="3">
        <f>R131*Feuil2!$C$3</f>
        <v>0</v>
      </c>
      <c r="AH131" s="3">
        <f>S131*Feuil2!$D$3</f>
        <v>0</v>
      </c>
      <c r="AI131" s="3">
        <f>T131*Feuil2!$E$2</f>
        <v>0</v>
      </c>
      <c r="AJ131" s="3">
        <f>U131*Feuil2!$F$3</f>
        <v>0</v>
      </c>
      <c r="AK131" s="3">
        <f>V131*Feuil2!$G$3</f>
        <v>288.60750778294783</v>
      </c>
      <c r="AL131" s="3">
        <f>W131*Feuil2!$H$3</f>
        <v>0</v>
      </c>
      <c r="AM131" s="3">
        <f>X131*Feuil2!$I$2</f>
        <v>232.81589913452291</v>
      </c>
      <c r="AN131" s="3">
        <f>Y131*Feuil2!$J$3</f>
        <v>3.2441460855322095</v>
      </c>
      <c r="AO131" s="3">
        <f>Z131*Feuil2!$K$3</f>
        <v>204.4646772228989</v>
      </c>
      <c r="AP131" s="3">
        <f>AA131*Feuil2!$L$3</f>
        <v>25.486554339934411</v>
      </c>
      <c r="AQ131" s="3">
        <f>AB131*Feuil2!$M$3</f>
        <v>0</v>
      </c>
      <c r="AR131" s="3">
        <f>AC131*Feuil2!$N$3</f>
        <v>715.65249075566521</v>
      </c>
    </row>
    <row r="132" spans="1:44" x14ac:dyDescent="0.35">
      <c r="A132" t="s">
        <v>267</v>
      </c>
      <c r="B132" t="s">
        <v>268</v>
      </c>
      <c r="C132">
        <v>113</v>
      </c>
      <c r="D132">
        <v>0</v>
      </c>
      <c r="E132">
        <v>94</v>
      </c>
      <c r="F132">
        <v>50</v>
      </c>
      <c r="G132">
        <v>137</v>
      </c>
      <c r="H132">
        <v>116</v>
      </c>
      <c r="I132">
        <v>60</v>
      </c>
      <c r="J132">
        <v>-31</v>
      </c>
      <c r="K132">
        <v>31</v>
      </c>
      <c r="L132">
        <v>10</v>
      </c>
      <c r="M132">
        <v>65</v>
      </c>
      <c r="N132">
        <v>0</v>
      </c>
      <c r="O132">
        <v>645</v>
      </c>
      <c r="Q132" s="1">
        <f>C132/$C$434</f>
        <v>2.7895035671085438E-3</v>
      </c>
      <c r="R132" s="1">
        <f t="shared" ref="R132:R195" si="33">D132/D$434</f>
        <v>0</v>
      </c>
      <c r="S132" s="1">
        <f t="shared" si="23"/>
        <v>3.1908754540208423E-3</v>
      </c>
      <c r="T132" s="1">
        <f t="shared" si="24"/>
        <v>2.0077902260771793E-3</v>
      </c>
      <c r="U132" s="1">
        <f t="shared" si="25"/>
        <v>6.5306511583563733E-3</v>
      </c>
      <c r="V132" s="1">
        <f t="shared" si="26"/>
        <v>3.8831051451143172E-3</v>
      </c>
      <c r="W132" s="1">
        <f t="shared" si="27"/>
        <v>1.3435442697836894E-3</v>
      </c>
      <c r="X132" s="1">
        <f t="shared" si="28"/>
        <v>-1.6561598461374079E-3</v>
      </c>
      <c r="Y132" s="1">
        <f t="shared" si="29"/>
        <v>7.9338673764492104E-4</v>
      </c>
      <c r="Z132" s="1">
        <f t="shared" ref="Z132:Z195" si="34">L132/L$434</f>
        <v>2.5375558262281771E-4</v>
      </c>
      <c r="AA132" s="1">
        <f t="shared" si="30"/>
        <v>1.6273189294745013E-3</v>
      </c>
      <c r="AB132" s="1">
        <f t="shared" si="31"/>
        <v>0</v>
      </c>
      <c r="AC132" s="1">
        <f t="shared" si="32"/>
        <v>1.6987452988211497E-3</v>
      </c>
      <c r="AD132" s="1" t="str">
        <f t="shared" ref="AD132:AD195" si="35">A132</f>
        <v>PONT L EVEQUE AUTO</v>
      </c>
      <c r="AE132" s="1" t="str">
        <f t="shared" ref="AE132:AE195" si="36">B132</f>
        <v>5310</v>
      </c>
      <c r="AF132" s="3">
        <f>Q132*Feuil2!$B$3</f>
        <v>98.678465526179366</v>
      </c>
      <c r="AG132" s="3">
        <f>R132*Feuil2!$C$3</f>
        <v>0</v>
      </c>
      <c r="AH132" s="3">
        <f>S132*Feuil2!$D$3</f>
        <v>125.39438541702026</v>
      </c>
      <c r="AI132" s="3">
        <f>T132*Feuil2!$E$2</f>
        <v>75.258001044050914</v>
      </c>
      <c r="AJ132" s="3">
        <f>U132*Feuil2!$F$3</f>
        <v>166.84768805415197</v>
      </c>
      <c r="AK132" s="3">
        <f>V132*Feuil2!$G$3</f>
        <v>156.44145281692499</v>
      </c>
      <c r="AL132" s="3">
        <f>W132*Feuil2!$H$3</f>
        <v>48.8478839177751</v>
      </c>
      <c r="AM132" s="3">
        <f>X132*Feuil2!$I$2</f>
        <v>-35.378886633187307</v>
      </c>
      <c r="AN132" s="3">
        <f>Y132*Feuil2!$J$3</f>
        <v>33.52284288383283</v>
      </c>
      <c r="AO132" s="3">
        <f>Z132*Feuil2!$K$3</f>
        <v>10.223233861144946</v>
      </c>
      <c r="AP132" s="3">
        <f>AA132*Feuil2!$L$3</f>
        <v>59.165215431990596</v>
      </c>
      <c r="AQ132" s="3">
        <f>AB132*Feuil2!$M$3</f>
        <v>0</v>
      </c>
      <c r="AR132" s="3">
        <f>AC132*Feuil2!$N$3</f>
        <v>711.2416895799754</v>
      </c>
    </row>
    <row r="133" spans="1:44" x14ac:dyDescent="0.35">
      <c r="A133" t="s">
        <v>269</v>
      </c>
      <c r="B133" t="s">
        <v>270</v>
      </c>
      <c r="C133">
        <v>102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97</v>
      </c>
      <c r="L133">
        <v>288</v>
      </c>
      <c r="M133">
        <v>154</v>
      </c>
      <c r="N133">
        <v>0</v>
      </c>
      <c r="O133">
        <v>641</v>
      </c>
      <c r="Q133" s="1">
        <f>C133/$C$434</f>
        <v>2.5179589720802785E-3</v>
      </c>
      <c r="R133" s="1">
        <f t="shared" si="33"/>
        <v>0</v>
      </c>
      <c r="S133" s="1">
        <f t="shared" si="23"/>
        <v>0</v>
      </c>
      <c r="T133" s="1">
        <f t="shared" si="24"/>
        <v>0</v>
      </c>
      <c r="U133" s="1">
        <f t="shared" si="25"/>
        <v>0</v>
      </c>
      <c r="V133" s="1">
        <f t="shared" si="26"/>
        <v>0</v>
      </c>
      <c r="W133" s="1">
        <f t="shared" si="27"/>
        <v>0</v>
      </c>
      <c r="X133" s="1">
        <f t="shared" si="28"/>
        <v>0</v>
      </c>
      <c r="Y133" s="1">
        <f t="shared" si="29"/>
        <v>2.4825326952115272E-3</v>
      </c>
      <c r="Z133" s="1">
        <f t="shared" si="34"/>
        <v>7.3081607795371494E-3</v>
      </c>
      <c r="AA133" s="1">
        <f t="shared" si="30"/>
        <v>3.8554940790626645E-3</v>
      </c>
      <c r="AB133" s="1">
        <f t="shared" si="31"/>
        <v>0</v>
      </c>
      <c r="AC133" s="1">
        <f t="shared" si="32"/>
        <v>1.6882104442548171E-3</v>
      </c>
      <c r="AD133" s="1" t="str">
        <f t="shared" si="35"/>
        <v>MANCHE AUTO</v>
      </c>
      <c r="AE133" s="1" t="str">
        <f t="shared" si="36"/>
        <v>4410</v>
      </c>
      <c r="AF133" s="3">
        <f>Q133*Feuil2!$B$3</f>
        <v>89.072597200622084</v>
      </c>
      <c r="AG133" s="3">
        <f>R133*Feuil2!$C$3</f>
        <v>0</v>
      </c>
      <c r="AH133" s="3">
        <f>S133*Feuil2!$D$3</f>
        <v>0</v>
      </c>
      <c r="AI133" s="3">
        <f>T133*Feuil2!$E$2</f>
        <v>0</v>
      </c>
      <c r="AJ133" s="3">
        <f>U133*Feuil2!$F$3</f>
        <v>0</v>
      </c>
      <c r="AK133" s="3">
        <f>V133*Feuil2!$G$3</f>
        <v>0</v>
      </c>
      <c r="AL133" s="3">
        <f>W133*Feuil2!$H$3</f>
        <v>0</v>
      </c>
      <c r="AM133" s="3">
        <f>X133*Feuil2!$I$2</f>
        <v>0</v>
      </c>
      <c r="AN133" s="3">
        <f>Y133*Feuil2!$J$3</f>
        <v>104.89405676554144</v>
      </c>
      <c r="AO133" s="3">
        <f>Z133*Feuil2!$K$3</f>
        <v>294.42913520097443</v>
      </c>
      <c r="AP133" s="3">
        <f>AA133*Feuil2!$L$3</f>
        <v>140.17604886963926</v>
      </c>
      <c r="AQ133" s="3">
        <f>AB133*Feuil2!$M$3</f>
        <v>0</v>
      </c>
      <c r="AR133" s="3">
        <f>AC133*Feuil2!$N$3</f>
        <v>706.8308884042857</v>
      </c>
    </row>
    <row r="134" spans="1:44" x14ac:dyDescent="0.35">
      <c r="A134" t="s">
        <v>271</v>
      </c>
      <c r="B134" t="s">
        <v>272</v>
      </c>
      <c r="C134">
        <v>114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9</v>
      </c>
      <c r="L134">
        <v>205</v>
      </c>
      <c r="M134">
        <v>300</v>
      </c>
      <c r="N134">
        <v>0</v>
      </c>
      <c r="O134">
        <v>628</v>
      </c>
      <c r="Q134" s="1">
        <f>C134/$C$434</f>
        <v>2.8141894393838404E-3</v>
      </c>
      <c r="R134" s="1">
        <f t="shared" si="33"/>
        <v>0</v>
      </c>
      <c r="S134" s="1">
        <f t="shared" si="23"/>
        <v>0</v>
      </c>
      <c r="T134" s="1">
        <f t="shared" si="24"/>
        <v>0</v>
      </c>
      <c r="U134" s="1">
        <f t="shared" si="25"/>
        <v>0</v>
      </c>
      <c r="V134" s="1">
        <f t="shared" si="26"/>
        <v>0</v>
      </c>
      <c r="W134" s="1">
        <f t="shared" si="27"/>
        <v>0</v>
      </c>
      <c r="X134" s="1">
        <f t="shared" si="28"/>
        <v>0</v>
      </c>
      <c r="Y134" s="1">
        <f t="shared" si="29"/>
        <v>2.30338085122719E-4</v>
      </c>
      <c r="Z134" s="1">
        <f t="shared" si="34"/>
        <v>5.2019894437677627E-3</v>
      </c>
      <c r="AA134" s="1">
        <f t="shared" si="30"/>
        <v>7.5107027514207747E-3</v>
      </c>
      <c r="AB134" s="1">
        <f t="shared" si="31"/>
        <v>0</v>
      </c>
      <c r="AC134" s="1">
        <f t="shared" si="32"/>
        <v>1.6539721669142358E-3</v>
      </c>
      <c r="AD134" s="1" t="str">
        <f t="shared" si="35"/>
        <v>GO CARS</v>
      </c>
      <c r="AE134" s="1" t="str">
        <f t="shared" si="36"/>
        <v>4026</v>
      </c>
      <c r="AF134" s="3">
        <f>Q134*Feuil2!$B$3</f>
        <v>99.551726283048197</v>
      </c>
      <c r="AG134" s="3">
        <f>R134*Feuil2!$C$3</f>
        <v>0</v>
      </c>
      <c r="AH134" s="3">
        <f>S134*Feuil2!$D$3</f>
        <v>0</v>
      </c>
      <c r="AI134" s="3">
        <f>T134*Feuil2!$E$2</f>
        <v>0</v>
      </c>
      <c r="AJ134" s="3">
        <f>U134*Feuil2!$F$3</f>
        <v>0</v>
      </c>
      <c r="AK134" s="3">
        <f>V134*Feuil2!$G$3</f>
        <v>0</v>
      </c>
      <c r="AL134" s="3">
        <f>W134*Feuil2!$H$3</f>
        <v>0</v>
      </c>
      <c r="AM134" s="3">
        <f>X134*Feuil2!$I$2</f>
        <v>0</v>
      </c>
      <c r="AN134" s="3">
        <f>Y134*Feuil2!$J$3</f>
        <v>9.7324382565966268</v>
      </c>
      <c r="AO134" s="3">
        <f>Z134*Feuil2!$K$3</f>
        <v>209.57629415347137</v>
      </c>
      <c r="AP134" s="3">
        <f>AA134*Feuil2!$L$3</f>
        <v>273.07022507072583</v>
      </c>
      <c r="AQ134" s="3">
        <f>AB134*Feuil2!$M$3</f>
        <v>0</v>
      </c>
      <c r="AR134" s="3">
        <f>AC134*Feuil2!$N$3</f>
        <v>692.49578458329393</v>
      </c>
    </row>
    <row r="135" spans="1:44" x14ac:dyDescent="0.35">
      <c r="A135" t="s">
        <v>273</v>
      </c>
      <c r="B135" t="s">
        <v>274</v>
      </c>
      <c r="C135">
        <v>42</v>
      </c>
      <c r="D135">
        <v>82</v>
      </c>
      <c r="E135">
        <v>201</v>
      </c>
      <c r="F135">
        <v>55</v>
      </c>
      <c r="G135">
        <v>42</v>
      </c>
      <c r="H135">
        <v>0</v>
      </c>
      <c r="I135">
        <v>68</v>
      </c>
      <c r="J135">
        <v>22</v>
      </c>
      <c r="K135">
        <v>41</v>
      </c>
      <c r="L135">
        <v>50</v>
      </c>
      <c r="M135">
        <v>19</v>
      </c>
      <c r="N135">
        <v>0</v>
      </c>
      <c r="O135">
        <v>622</v>
      </c>
      <c r="Q135" s="1">
        <f>C135/$C$434</f>
        <v>1.0368066355624676E-3</v>
      </c>
      <c r="R135" s="1">
        <f t="shared" si="33"/>
        <v>3.4567068543967625E-3</v>
      </c>
      <c r="S135" s="1">
        <f t="shared" si="23"/>
        <v>6.8230421942360566E-3</v>
      </c>
      <c r="T135" s="1">
        <f t="shared" si="24"/>
        <v>2.2085692486848974E-3</v>
      </c>
      <c r="U135" s="1">
        <f t="shared" si="25"/>
        <v>2.002097435408523E-3</v>
      </c>
      <c r="V135" s="1">
        <f t="shared" si="26"/>
        <v>0</v>
      </c>
      <c r="W135" s="1">
        <f t="shared" si="27"/>
        <v>1.5226835057548479E-3</v>
      </c>
      <c r="X135" s="1">
        <f t="shared" si="28"/>
        <v>1.1753392456459023E-3</v>
      </c>
      <c r="Y135" s="1">
        <f t="shared" si="29"/>
        <v>1.0493179433368311E-3</v>
      </c>
      <c r="Z135" s="1">
        <f t="shared" si="34"/>
        <v>1.2687779131140885E-3</v>
      </c>
      <c r="AA135" s="1">
        <f t="shared" si="30"/>
        <v>4.7567784092331572E-4</v>
      </c>
      <c r="AB135" s="1">
        <f t="shared" si="31"/>
        <v>0</v>
      </c>
      <c r="AC135" s="1">
        <f t="shared" si="32"/>
        <v>1.6381698850647366E-3</v>
      </c>
      <c r="AD135" s="1" t="str">
        <f t="shared" si="35"/>
        <v>LA CARROSSERIE TESTU AUTOMOBIL</v>
      </c>
      <c r="AE135" s="1" t="str">
        <f t="shared" si="36"/>
        <v>63078</v>
      </c>
      <c r="AF135" s="3">
        <f>Q135*Feuil2!$B$3</f>
        <v>36.676951788491444</v>
      </c>
      <c r="AG135" s="3">
        <f>R135*Feuil2!$C$3</f>
        <v>122.28072843773711</v>
      </c>
      <c r="AH135" s="3">
        <f>S135*Feuil2!$D$3</f>
        <v>268.13054754064973</v>
      </c>
      <c r="AI135" s="3">
        <f>T135*Feuil2!$E$2</f>
        <v>82.783801148456007</v>
      </c>
      <c r="AJ135" s="3">
        <f>U135*Feuil2!$F$3</f>
        <v>51.150386118791111</v>
      </c>
      <c r="AK135" s="3">
        <f>V135*Feuil2!$G$3</f>
        <v>0</v>
      </c>
      <c r="AL135" s="3">
        <f>W135*Feuil2!$H$3</f>
        <v>55.360935106811773</v>
      </c>
      <c r="AM135" s="3">
        <f>X135*Feuil2!$I$2</f>
        <v>25.107596965487765</v>
      </c>
      <c r="AN135" s="3">
        <f>Y135*Feuil2!$J$3</f>
        <v>44.336663168940191</v>
      </c>
      <c r="AO135" s="3">
        <f>Z135*Feuil2!$K$3</f>
        <v>51.116169305724725</v>
      </c>
      <c r="AP135" s="3">
        <f>AA135*Feuil2!$L$3</f>
        <v>17.294447587812634</v>
      </c>
      <c r="AQ135" s="3">
        <f>AB135*Feuil2!$M$3</f>
        <v>0</v>
      </c>
      <c r="AR135" s="3">
        <f>AC135*Feuil2!$N$3</f>
        <v>685.87958281975921</v>
      </c>
    </row>
    <row r="136" spans="1:44" x14ac:dyDescent="0.35">
      <c r="A136" t="s">
        <v>275</v>
      </c>
      <c r="B136" t="s">
        <v>276</v>
      </c>
      <c r="C136">
        <v>0</v>
      </c>
      <c r="D136">
        <v>206</v>
      </c>
      <c r="E136">
        <v>0</v>
      </c>
      <c r="F136">
        <v>20</v>
      </c>
      <c r="G136">
        <v>0</v>
      </c>
      <c r="H136">
        <v>41</v>
      </c>
      <c r="I136">
        <v>193</v>
      </c>
      <c r="J136">
        <v>0</v>
      </c>
      <c r="K136">
        <v>33</v>
      </c>
      <c r="L136">
        <v>17</v>
      </c>
      <c r="M136">
        <v>112</v>
      </c>
      <c r="N136">
        <v>0</v>
      </c>
      <c r="O136">
        <v>622</v>
      </c>
      <c r="Q136" s="1">
        <f>C136/$C$434</f>
        <v>0</v>
      </c>
      <c r="R136" s="1">
        <f t="shared" si="33"/>
        <v>8.6839220976308914E-3</v>
      </c>
      <c r="S136" s="1">
        <f t="shared" si="23"/>
        <v>0</v>
      </c>
      <c r="T136" s="1">
        <f t="shared" si="24"/>
        <v>8.0311609043087176E-4</v>
      </c>
      <c r="U136" s="1">
        <f t="shared" si="25"/>
        <v>0</v>
      </c>
      <c r="V136" s="1">
        <f t="shared" si="26"/>
        <v>1.3724768185317845E-3</v>
      </c>
      <c r="W136" s="1">
        <f t="shared" si="27"/>
        <v>4.3217340678042004E-3</v>
      </c>
      <c r="X136" s="1">
        <f t="shared" si="28"/>
        <v>0</v>
      </c>
      <c r="Y136" s="1">
        <f t="shared" si="29"/>
        <v>8.4457297878330303E-4</v>
      </c>
      <c r="Z136" s="1">
        <f t="shared" si="34"/>
        <v>4.3138449045879011E-4</v>
      </c>
      <c r="AA136" s="1">
        <f t="shared" si="30"/>
        <v>2.803995693863756E-3</v>
      </c>
      <c r="AB136" s="1">
        <f t="shared" si="31"/>
        <v>0</v>
      </c>
      <c r="AC136" s="1">
        <f t="shared" si="32"/>
        <v>1.6381698850647366E-3</v>
      </c>
      <c r="AD136" s="1" t="str">
        <f t="shared" si="35"/>
        <v>LABELLE AUTOMOBILE</v>
      </c>
      <c r="AE136" s="1" t="str">
        <f t="shared" si="36"/>
        <v>5473</v>
      </c>
      <c r="AF136" s="3">
        <f>Q136*Feuil2!$B$3</f>
        <v>0</v>
      </c>
      <c r="AG136" s="3">
        <f>R136*Feuil2!$C$3</f>
        <v>307.19304948992493</v>
      </c>
      <c r="AH136" s="3">
        <f>S136*Feuil2!$D$3</f>
        <v>0</v>
      </c>
      <c r="AI136" s="3">
        <f>T136*Feuil2!$E$2</f>
        <v>30.103200417620368</v>
      </c>
      <c r="AJ136" s="3">
        <f>U136*Feuil2!$F$3</f>
        <v>0</v>
      </c>
      <c r="AK136" s="3">
        <f>V136*Feuil2!$G$3</f>
        <v>55.293961771499347</v>
      </c>
      <c r="AL136" s="3">
        <f>W136*Feuil2!$H$3</f>
        <v>157.12735993550987</v>
      </c>
      <c r="AM136" s="3">
        <f>X136*Feuil2!$I$2</f>
        <v>0</v>
      </c>
      <c r="AN136" s="3">
        <f>Y136*Feuil2!$J$3</f>
        <v>35.685606940854299</v>
      </c>
      <c r="AO136" s="3">
        <f>Z136*Feuil2!$K$3</f>
        <v>17.379497563946408</v>
      </c>
      <c r="AP136" s="3">
        <f>AA136*Feuil2!$L$3</f>
        <v>101.94621735973764</v>
      </c>
      <c r="AQ136" s="3">
        <f>AB136*Feuil2!$M$3</f>
        <v>0</v>
      </c>
      <c r="AR136" s="3">
        <f>AC136*Feuil2!$N$3</f>
        <v>685.87958281975921</v>
      </c>
    </row>
    <row r="137" spans="1:44" x14ac:dyDescent="0.35">
      <c r="A137" t="s">
        <v>277</v>
      </c>
      <c r="B137" t="s">
        <v>278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414</v>
      </c>
      <c r="L137">
        <v>12</v>
      </c>
      <c r="M137">
        <v>194</v>
      </c>
      <c r="N137">
        <v>0</v>
      </c>
      <c r="O137">
        <v>620</v>
      </c>
      <c r="Q137" s="1">
        <f>C137/$C$434</f>
        <v>0</v>
      </c>
      <c r="R137" s="1">
        <f t="shared" si="33"/>
        <v>0</v>
      </c>
      <c r="S137" s="1">
        <f t="shared" si="23"/>
        <v>0</v>
      </c>
      <c r="T137" s="1">
        <f t="shared" si="24"/>
        <v>0</v>
      </c>
      <c r="U137" s="1">
        <f t="shared" si="25"/>
        <v>0</v>
      </c>
      <c r="V137" s="1">
        <f t="shared" si="26"/>
        <v>0</v>
      </c>
      <c r="W137" s="1">
        <f t="shared" si="27"/>
        <v>0</v>
      </c>
      <c r="X137" s="1">
        <f t="shared" si="28"/>
        <v>0</v>
      </c>
      <c r="Y137" s="1">
        <f t="shared" si="29"/>
        <v>1.0595551915645075E-2</v>
      </c>
      <c r="Z137" s="1">
        <f t="shared" si="34"/>
        <v>3.0450669914738123E-4</v>
      </c>
      <c r="AA137" s="1">
        <f t="shared" si="30"/>
        <v>4.8569211125854342E-3</v>
      </c>
      <c r="AB137" s="1">
        <f t="shared" si="31"/>
        <v>0</v>
      </c>
      <c r="AC137" s="1">
        <f t="shared" si="32"/>
        <v>1.6329024577815703E-3</v>
      </c>
      <c r="AD137" s="1" t="str">
        <f t="shared" si="35"/>
        <v>MEZIDON AUTOMOBILE</v>
      </c>
      <c r="AE137" s="1" t="str">
        <f t="shared" si="36"/>
        <v>3978</v>
      </c>
      <c r="AF137" s="3">
        <f>Q137*Feuil2!$B$3</f>
        <v>0</v>
      </c>
      <c r="AG137" s="3">
        <f>R137*Feuil2!$C$3</f>
        <v>0</v>
      </c>
      <c r="AH137" s="3">
        <f>S137*Feuil2!$D$3</f>
        <v>0</v>
      </c>
      <c r="AI137" s="3">
        <f>T137*Feuil2!$E$2</f>
        <v>0</v>
      </c>
      <c r="AJ137" s="3">
        <f>U137*Feuil2!$F$3</f>
        <v>0</v>
      </c>
      <c r="AK137" s="3">
        <f>V137*Feuil2!$G$3</f>
        <v>0</v>
      </c>
      <c r="AL137" s="3">
        <f>W137*Feuil2!$H$3</f>
        <v>0</v>
      </c>
      <c r="AM137" s="3">
        <f>X137*Feuil2!$I$2</f>
        <v>0</v>
      </c>
      <c r="AN137" s="3">
        <f>Y137*Feuil2!$J$3</f>
        <v>447.69215980344489</v>
      </c>
      <c r="AO137" s="3">
        <f>Z137*Feuil2!$K$3</f>
        <v>12.267880633373935</v>
      </c>
      <c r="AP137" s="3">
        <f>AA137*Feuil2!$L$3</f>
        <v>176.58541221240267</v>
      </c>
      <c r="AQ137" s="3">
        <f>AB137*Feuil2!$M$3</f>
        <v>0</v>
      </c>
      <c r="AR137" s="3">
        <f>AC137*Feuil2!$N$3</f>
        <v>683.67418223191441</v>
      </c>
    </row>
    <row r="138" spans="1:44" x14ac:dyDescent="0.35">
      <c r="A138" t="s">
        <v>279</v>
      </c>
      <c r="B138" t="s">
        <v>280</v>
      </c>
      <c r="C138">
        <v>332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197</v>
      </c>
      <c r="M138">
        <v>87</v>
      </c>
      <c r="N138">
        <v>0</v>
      </c>
      <c r="O138">
        <v>616</v>
      </c>
      <c r="Q138" s="1">
        <f>C138/$C$434</f>
        <v>8.1957095953985541E-3</v>
      </c>
      <c r="R138" s="1">
        <f t="shared" si="33"/>
        <v>0</v>
      </c>
      <c r="S138" s="1">
        <f t="shared" si="23"/>
        <v>0</v>
      </c>
      <c r="T138" s="1">
        <f t="shared" si="24"/>
        <v>0</v>
      </c>
      <c r="U138" s="1">
        <f t="shared" si="25"/>
        <v>0</v>
      </c>
      <c r="V138" s="1">
        <f t="shared" si="26"/>
        <v>0</v>
      </c>
      <c r="W138" s="1">
        <f t="shared" si="27"/>
        <v>0</v>
      </c>
      <c r="X138" s="1">
        <f t="shared" si="28"/>
        <v>0</v>
      </c>
      <c r="Y138" s="1">
        <f t="shared" si="29"/>
        <v>0</v>
      </c>
      <c r="Z138" s="1">
        <f t="shared" si="34"/>
        <v>4.9989849776695084E-3</v>
      </c>
      <c r="AA138" s="1">
        <f t="shared" si="30"/>
        <v>2.1781037979120245E-3</v>
      </c>
      <c r="AB138" s="1">
        <f t="shared" si="31"/>
        <v>0</v>
      </c>
      <c r="AC138" s="1">
        <f t="shared" si="32"/>
        <v>1.6223676032152375E-3</v>
      </c>
      <c r="AD138" s="1" t="str">
        <f t="shared" si="35"/>
        <v>PONTS AUTOMOBILES</v>
      </c>
      <c r="AE138" s="1" t="str">
        <f t="shared" si="36"/>
        <v>2423</v>
      </c>
      <c r="AF138" s="3">
        <f>Q138*Feuil2!$B$3</f>
        <v>289.92257128045622</v>
      </c>
      <c r="AG138" s="3">
        <f>R138*Feuil2!$C$3</f>
        <v>0</v>
      </c>
      <c r="AH138" s="3">
        <f>S138*Feuil2!$D$3</f>
        <v>0</v>
      </c>
      <c r="AI138" s="3">
        <f>T138*Feuil2!$E$2</f>
        <v>0</v>
      </c>
      <c r="AJ138" s="3">
        <f>U138*Feuil2!$F$3</f>
        <v>0</v>
      </c>
      <c r="AK138" s="3">
        <f>V138*Feuil2!$G$3</f>
        <v>0</v>
      </c>
      <c r="AL138" s="3">
        <f>W138*Feuil2!$H$3</f>
        <v>0</v>
      </c>
      <c r="AM138" s="3">
        <f>X138*Feuil2!$I$2</f>
        <v>0</v>
      </c>
      <c r="AN138" s="3">
        <f>Y138*Feuil2!$J$3</f>
        <v>0</v>
      </c>
      <c r="AO138" s="3">
        <f>Z138*Feuil2!$K$3</f>
        <v>201.39770706455542</v>
      </c>
      <c r="AP138" s="3">
        <f>AA138*Feuil2!$L$3</f>
        <v>79.190365270510483</v>
      </c>
      <c r="AQ138" s="3">
        <f>AB138*Feuil2!$M$3</f>
        <v>0</v>
      </c>
      <c r="AR138" s="3">
        <f>AC138*Feuil2!$N$3</f>
        <v>679.26338105622449</v>
      </c>
    </row>
    <row r="139" spans="1:44" x14ac:dyDescent="0.35">
      <c r="A139" t="s">
        <v>281</v>
      </c>
      <c r="B139" t="s">
        <v>282</v>
      </c>
      <c r="C139">
        <v>0</v>
      </c>
      <c r="D139">
        <v>0</v>
      </c>
      <c r="E139">
        <v>0</v>
      </c>
      <c r="F139">
        <v>153</v>
      </c>
      <c r="G139">
        <v>42</v>
      </c>
      <c r="H139">
        <v>38</v>
      </c>
      <c r="I139">
        <v>110</v>
      </c>
      <c r="J139">
        <v>0</v>
      </c>
      <c r="K139">
        <v>12</v>
      </c>
      <c r="L139">
        <v>193</v>
      </c>
      <c r="M139">
        <v>64</v>
      </c>
      <c r="N139">
        <v>0</v>
      </c>
      <c r="O139">
        <v>612</v>
      </c>
      <c r="Q139" s="1">
        <f>C139/$C$434</f>
        <v>0</v>
      </c>
      <c r="R139" s="1">
        <f t="shared" si="33"/>
        <v>0</v>
      </c>
      <c r="S139" s="1">
        <f t="shared" si="23"/>
        <v>0</v>
      </c>
      <c r="T139" s="1">
        <f t="shared" si="24"/>
        <v>6.1438380917961692E-3</v>
      </c>
      <c r="U139" s="1">
        <f t="shared" si="25"/>
        <v>2.002097435408523E-3</v>
      </c>
      <c r="V139" s="1">
        <f t="shared" si="26"/>
        <v>1.2720516854684831E-3</v>
      </c>
      <c r="W139" s="1">
        <f t="shared" si="27"/>
        <v>2.4631644946034306E-3</v>
      </c>
      <c r="X139" s="1">
        <f t="shared" si="28"/>
        <v>0</v>
      </c>
      <c r="Y139" s="1">
        <f t="shared" si="29"/>
        <v>3.0711744683029204E-4</v>
      </c>
      <c r="Z139" s="1">
        <f t="shared" si="34"/>
        <v>4.8974827446203817E-3</v>
      </c>
      <c r="AA139" s="1">
        <f t="shared" si="30"/>
        <v>1.6022832536364319E-3</v>
      </c>
      <c r="AB139" s="1">
        <f t="shared" si="31"/>
        <v>0</v>
      </c>
      <c r="AC139" s="1">
        <f t="shared" si="32"/>
        <v>1.6118327486489049E-3</v>
      </c>
      <c r="AD139" s="1" t="str">
        <f t="shared" si="35"/>
        <v>GLV AUTOMOBILE</v>
      </c>
      <c r="AE139" s="1" t="str">
        <f t="shared" si="36"/>
        <v>5312</v>
      </c>
      <c r="AF139" s="3">
        <f>Q139*Feuil2!$B$3</f>
        <v>0</v>
      </c>
      <c r="AG139" s="3">
        <f>R139*Feuil2!$C$3</f>
        <v>0</v>
      </c>
      <c r="AH139" s="3">
        <f>S139*Feuil2!$D$3</f>
        <v>0</v>
      </c>
      <c r="AI139" s="3">
        <f>T139*Feuil2!$E$2</f>
        <v>230.28948319479582</v>
      </c>
      <c r="AJ139" s="3">
        <f>U139*Feuil2!$F$3</f>
        <v>51.150386118791111</v>
      </c>
      <c r="AK139" s="3">
        <f>V139*Feuil2!$G$3</f>
        <v>51.248062129682317</v>
      </c>
      <c r="AL139" s="3">
        <f>W139*Feuil2!$H$3</f>
        <v>89.554453849254344</v>
      </c>
      <c r="AM139" s="3">
        <f>X139*Feuil2!$I$2</f>
        <v>0</v>
      </c>
      <c r="AN139" s="3">
        <f>Y139*Feuil2!$J$3</f>
        <v>12.976584342128838</v>
      </c>
      <c r="AO139" s="3">
        <f>Z139*Feuil2!$K$3</f>
        <v>197.30841352009745</v>
      </c>
      <c r="AP139" s="3">
        <f>AA139*Feuil2!$L$3</f>
        <v>58.254981348421502</v>
      </c>
      <c r="AQ139" s="3">
        <f>AB139*Feuil2!$M$3</f>
        <v>0</v>
      </c>
      <c r="AR139" s="3">
        <f>AC139*Feuil2!$N$3</f>
        <v>674.85257988053479</v>
      </c>
    </row>
    <row r="140" spans="1:44" x14ac:dyDescent="0.35">
      <c r="A140" t="s">
        <v>283</v>
      </c>
      <c r="B140" t="s">
        <v>284</v>
      </c>
      <c r="C140">
        <v>302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309</v>
      </c>
      <c r="N140">
        <v>0</v>
      </c>
      <c r="O140">
        <v>611</v>
      </c>
      <c r="Q140" s="1">
        <f>C140/$C$434</f>
        <v>7.4551334271396484E-3</v>
      </c>
      <c r="R140" s="1">
        <f t="shared" si="33"/>
        <v>0</v>
      </c>
      <c r="S140" s="1">
        <f t="shared" si="23"/>
        <v>0</v>
      </c>
      <c r="T140" s="1">
        <f t="shared" si="24"/>
        <v>0</v>
      </c>
      <c r="U140" s="1">
        <f t="shared" si="25"/>
        <v>0</v>
      </c>
      <c r="V140" s="1">
        <f t="shared" si="26"/>
        <v>0</v>
      </c>
      <c r="W140" s="1">
        <f t="shared" si="27"/>
        <v>0</v>
      </c>
      <c r="X140" s="1">
        <f t="shared" si="28"/>
        <v>0</v>
      </c>
      <c r="Y140" s="1">
        <f t="shared" si="29"/>
        <v>0</v>
      </c>
      <c r="Z140" s="1">
        <f t="shared" si="34"/>
        <v>0</v>
      </c>
      <c r="AA140" s="1">
        <f t="shared" si="30"/>
        <v>7.7360238339633982E-3</v>
      </c>
      <c r="AB140" s="1">
        <f t="shared" si="31"/>
        <v>0</v>
      </c>
      <c r="AC140" s="1">
        <f t="shared" si="32"/>
        <v>1.6091990350073217E-3</v>
      </c>
      <c r="AD140" s="1" t="str">
        <f t="shared" si="35"/>
        <v>SADA CITROEN ALENCON</v>
      </c>
      <c r="AE140" s="1" t="str">
        <f t="shared" si="36"/>
        <v>1036</v>
      </c>
      <c r="AF140" s="3">
        <f>Q140*Feuil2!$B$3</f>
        <v>263.7247485743909</v>
      </c>
      <c r="AG140" s="3">
        <f>R140*Feuil2!$C$3</f>
        <v>0</v>
      </c>
      <c r="AH140" s="3">
        <f>S140*Feuil2!$D$3</f>
        <v>0</v>
      </c>
      <c r="AI140" s="3">
        <f>T140*Feuil2!$E$2</f>
        <v>0</v>
      </c>
      <c r="AJ140" s="3">
        <f>U140*Feuil2!$F$3</f>
        <v>0</v>
      </c>
      <c r="AK140" s="3">
        <f>V140*Feuil2!$G$3</f>
        <v>0</v>
      </c>
      <c r="AL140" s="3">
        <f>W140*Feuil2!$H$3</f>
        <v>0</v>
      </c>
      <c r="AM140" s="3">
        <f>X140*Feuil2!$I$2</f>
        <v>0</v>
      </c>
      <c r="AN140" s="3">
        <f>Y140*Feuil2!$J$3</f>
        <v>0</v>
      </c>
      <c r="AO140" s="3">
        <f>Z140*Feuil2!$K$3</f>
        <v>0</v>
      </c>
      <c r="AP140" s="3">
        <f>AA140*Feuil2!$L$3</f>
        <v>281.26233182284761</v>
      </c>
      <c r="AQ140" s="3">
        <f>AB140*Feuil2!$M$3</f>
        <v>0</v>
      </c>
      <c r="AR140" s="3">
        <f>AC140*Feuil2!$N$3</f>
        <v>673.74987958661234</v>
      </c>
    </row>
    <row r="141" spans="1:44" x14ac:dyDescent="0.35">
      <c r="A141" t="s">
        <v>285</v>
      </c>
      <c r="B141" t="s">
        <v>286</v>
      </c>
      <c r="C141">
        <v>0</v>
      </c>
      <c r="D141">
        <v>0</v>
      </c>
      <c r="E141">
        <v>0</v>
      </c>
      <c r="F141">
        <v>79</v>
      </c>
      <c r="G141">
        <v>430</v>
      </c>
      <c r="H141">
        <v>-162</v>
      </c>
      <c r="I141">
        <v>0</v>
      </c>
      <c r="J141">
        <v>0</v>
      </c>
      <c r="K141">
        <v>0</v>
      </c>
      <c r="L141">
        <v>150</v>
      </c>
      <c r="M141">
        <v>112</v>
      </c>
      <c r="N141">
        <v>0</v>
      </c>
      <c r="O141">
        <v>609</v>
      </c>
      <c r="Q141" s="1">
        <f>C141/$C$434</f>
        <v>0</v>
      </c>
      <c r="R141" s="1">
        <f t="shared" si="33"/>
        <v>0</v>
      </c>
      <c r="S141" s="1">
        <f t="shared" si="23"/>
        <v>0</v>
      </c>
      <c r="T141" s="1">
        <f t="shared" si="24"/>
        <v>3.1723085572019434E-3</v>
      </c>
      <c r="U141" s="1">
        <f t="shared" si="25"/>
        <v>2.0497664219658689E-2</v>
      </c>
      <c r="V141" s="1">
        <f t="shared" si="26"/>
        <v>-5.422957185418271E-3</v>
      </c>
      <c r="W141" s="1">
        <f t="shared" si="27"/>
        <v>0</v>
      </c>
      <c r="X141" s="1">
        <f t="shared" si="28"/>
        <v>0</v>
      </c>
      <c r="Y141" s="1">
        <f t="shared" si="29"/>
        <v>0</v>
      </c>
      <c r="Z141" s="1">
        <f t="shared" si="34"/>
        <v>3.8063337393422656E-3</v>
      </c>
      <c r="AA141" s="1">
        <f t="shared" si="30"/>
        <v>2.803995693863756E-3</v>
      </c>
      <c r="AB141" s="1">
        <f t="shared" si="31"/>
        <v>0</v>
      </c>
      <c r="AC141" s="1">
        <f t="shared" si="32"/>
        <v>1.6039316077241554E-3</v>
      </c>
      <c r="AD141" s="1" t="str">
        <f t="shared" si="35"/>
        <v>MONZA AUTOMOBILES</v>
      </c>
      <c r="AE141" s="1" t="str">
        <f t="shared" si="36"/>
        <v>5377</v>
      </c>
      <c r="AF141" s="3">
        <f>Q141*Feuil2!$B$3</f>
        <v>0</v>
      </c>
      <c r="AG141" s="3">
        <f>R141*Feuil2!$C$3</f>
        <v>0</v>
      </c>
      <c r="AH141" s="3">
        <f>S141*Feuil2!$D$3</f>
        <v>0</v>
      </c>
      <c r="AI141" s="3">
        <f>T141*Feuil2!$E$2</f>
        <v>118.90764164960045</v>
      </c>
      <c r="AJ141" s="3">
        <f>U141*Feuil2!$F$3</f>
        <v>523.68252454952813</v>
      </c>
      <c r="AK141" s="3">
        <f>V141*Feuil2!$G$3</f>
        <v>-218.4785806581194</v>
      </c>
      <c r="AL141" s="3">
        <f>W141*Feuil2!$H$3</f>
        <v>0</v>
      </c>
      <c r="AM141" s="3">
        <f>X141*Feuil2!$I$2</f>
        <v>0</v>
      </c>
      <c r="AN141" s="3">
        <f>Y141*Feuil2!$J$3</f>
        <v>0</v>
      </c>
      <c r="AO141" s="3">
        <f>Z141*Feuil2!$K$3</f>
        <v>153.34850791717417</v>
      </c>
      <c r="AP141" s="3">
        <f>AA141*Feuil2!$L$3</f>
        <v>101.94621735973764</v>
      </c>
      <c r="AQ141" s="3">
        <f>AB141*Feuil2!$M$3</f>
        <v>0</v>
      </c>
      <c r="AR141" s="3">
        <f>AC141*Feuil2!$N$3</f>
        <v>671.54447899876743</v>
      </c>
    </row>
    <row r="142" spans="1:44" x14ac:dyDescent="0.35">
      <c r="A142" t="s">
        <v>287</v>
      </c>
      <c r="B142" t="s">
        <v>288</v>
      </c>
      <c r="C142">
        <v>0</v>
      </c>
      <c r="D142">
        <v>56</v>
      </c>
      <c r="E142">
        <v>53</v>
      </c>
      <c r="F142">
        <v>66</v>
      </c>
      <c r="G142">
        <v>3</v>
      </c>
      <c r="H142">
        <v>65</v>
      </c>
      <c r="I142">
        <v>193</v>
      </c>
      <c r="J142">
        <v>20</v>
      </c>
      <c r="K142">
        <v>32</v>
      </c>
      <c r="L142">
        <v>9</v>
      </c>
      <c r="M142">
        <v>94</v>
      </c>
      <c r="N142">
        <v>0</v>
      </c>
      <c r="O142">
        <v>591</v>
      </c>
      <c r="Q142" s="1">
        <f>C142/$C$434</f>
        <v>0</v>
      </c>
      <c r="R142" s="1">
        <f t="shared" si="33"/>
        <v>2.3606778517831547E-3</v>
      </c>
      <c r="S142" s="1">
        <f t="shared" si="23"/>
        <v>1.7991106283309006E-3</v>
      </c>
      <c r="T142" s="1">
        <f t="shared" si="24"/>
        <v>2.6502830984218768E-3</v>
      </c>
      <c r="U142" s="1">
        <f t="shared" si="25"/>
        <v>1.4300695967203736E-4</v>
      </c>
      <c r="V142" s="1">
        <f t="shared" si="26"/>
        <v>2.1758778830381952E-3</v>
      </c>
      <c r="W142" s="1">
        <f t="shared" si="27"/>
        <v>4.3217340678042004E-3</v>
      </c>
      <c r="X142" s="1">
        <f t="shared" si="28"/>
        <v>1.0684902233144566E-3</v>
      </c>
      <c r="Y142" s="1">
        <f t="shared" si="29"/>
        <v>8.1897985821411203E-4</v>
      </c>
      <c r="Z142" s="1">
        <f t="shared" si="34"/>
        <v>2.2838002436053592E-4</v>
      </c>
      <c r="AA142" s="1">
        <f t="shared" si="30"/>
        <v>2.3533535287785096E-3</v>
      </c>
      <c r="AB142" s="1">
        <f t="shared" si="31"/>
        <v>0</v>
      </c>
      <c r="AC142" s="1">
        <f t="shared" si="32"/>
        <v>1.5565247621756582E-3</v>
      </c>
      <c r="AD142" s="1" t="str">
        <f t="shared" si="35"/>
        <v>DU PERIPH</v>
      </c>
      <c r="AE142" s="1" t="str">
        <f t="shared" si="36"/>
        <v>3013</v>
      </c>
      <c r="AF142" s="3">
        <f>Q142*Feuil2!$B$3</f>
        <v>0</v>
      </c>
      <c r="AG142" s="3">
        <f>R142*Feuil2!$C$3</f>
        <v>83.508790152600952</v>
      </c>
      <c r="AH142" s="3">
        <f>S142*Feuil2!$D$3</f>
        <v>70.70108965002207</v>
      </c>
      <c r="AI142" s="3">
        <f>T142*Feuil2!$E$2</f>
        <v>99.340561378147214</v>
      </c>
      <c r="AJ142" s="3">
        <f>U142*Feuil2!$F$3</f>
        <v>3.6535990084850796</v>
      </c>
      <c r="AK142" s="3">
        <f>V142*Feuil2!$G$3</f>
        <v>87.661158906035553</v>
      </c>
      <c r="AL142" s="3">
        <f>W142*Feuil2!$H$3</f>
        <v>157.12735993550987</v>
      </c>
      <c r="AM142" s="3">
        <f>X142*Feuil2!$I$2</f>
        <v>22.825088150443424</v>
      </c>
      <c r="AN142" s="3">
        <f>Y142*Feuil2!$J$3</f>
        <v>34.604224912343568</v>
      </c>
      <c r="AO142" s="3">
        <f>Z142*Feuil2!$K$3</f>
        <v>9.2009104750304509</v>
      </c>
      <c r="AP142" s="3">
        <f>AA142*Feuil2!$L$3</f>
        <v>85.562003855494098</v>
      </c>
      <c r="AQ142" s="3">
        <f>AB142*Feuil2!$M$3</f>
        <v>0</v>
      </c>
      <c r="AR142" s="3">
        <f>AC142*Feuil2!$N$3</f>
        <v>651.6958737081635</v>
      </c>
    </row>
    <row r="143" spans="1:44" x14ac:dyDescent="0.35">
      <c r="A143" t="s">
        <v>289</v>
      </c>
      <c r="B143" t="s">
        <v>290</v>
      </c>
      <c r="C143">
        <v>0</v>
      </c>
      <c r="D143">
        <v>26</v>
      </c>
      <c r="E143">
        <v>32</v>
      </c>
      <c r="F143">
        <v>328</v>
      </c>
      <c r="G143">
        <v>0</v>
      </c>
      <c r="H143">
        <v>41</v>
      </c>
      <c r="I143">
        <v>0</v>
      </c>
      <c r="J143">
        <v>0</v>
      </c>
      <c r="K143">
        <v>21</v>
      </c>
      <c r="L143">
        <v>139</v>
      </c>
      <c r="M143">
        <v>0</v>
      </c>
      <c r="N143">
        <v>0</v>
      </c>
      <c r="O143">
        <v>587</v>
      </c>
      <c r="Q143" s="1">
        <f>C143/$C$434</f>
        <v>0</v>
      </c>
      <c r="R143" s="1">
        <f t="shared" si="33"/>
        <v>1.0960290026136076E-3</v>
      </c>
      <c r="S143" s="1">
        <f t="shared" si="23"/>
        <v>1.0862554737092231E-3</v>
      </c>
      <c r="T143" s="1">
        <f t="shared" si="24"/>
        <v>1.3171103883066297E-2</v>
      </c>
      <c r="U143" s="1">
        <f t="shared" si="25"/>
        <v>0</v>
      </c>
      <c r="V143" s="1">
        <f t="shared" si="26"/>
        <v>1.3724768185317845E-3</v>
      </c>
      <c r="W143" s="1">
        <f t="shared" si="27"/>
        <v>0</v>
      </c>
      <c r="X143" s="1">
        <f t="shared" si="28"/>
        <v>0</v>
      </c>
      <c r="Y143" s="1">
        <f t="shared" si="29"/>
        <v>5.3745553195301099E-4</v>
      </c>
      <c r="Z143" s="1">
        <f t="shared" si="34"/>
        <v>3.5272025984571659E-3</v>
      </c>
      <c r="AA143" s="1">
        <f t="shared" si="30"/>
        <v>0</v>
      </c>
      <c r="AB143" s="1">
        <f t="shared" si="31"/>
        <v>0</v>
      </c>
      <c r="AC143" s="1">
        <f t="shared" si="32"/>
        <v>1.5459899076093254E-3</v>
      </c>
      <c r="AD143" s="1" t="str">
        <f t="shared" si="35"/>
        <v>DE LA PEPINIERE</v>
      </c>
      <c r="AE143" s="1" t="str">
        <f t="shared" si="36"/>
        <v>402203</v>
      </c>
      <c r="AF143" s="3">
        <f>Q143*Feuil2!$B$3</f>
        <v>0</v>
      </c>
      <c r="AG143" s="3">
        <f>R143*Feuil2!$C$3</f>
        <v>38.771938285136159</v>
      </c>
      <c r="AH143" s="3">
        <f>S143*Feuil2!$D$3</f>
        <v>42.687450354730309</v>
      </c>
      <c r="AI143" s="3">
        <f>T143*Feuil2!$E$2</f>
        <v>493.692486848974</v>
      </c>
      <c r="AJ143" s="3">
        <f>U143*Feuil2!$F$3</f>
        <v>0</v>
      </c>
      <c r="AK143" s="3">
        <f>V143*Feuil2!$G$3</f>
        <v>55.293961771499347</v>
      </c>
      <c r="AL143" s="3">
        <f>W143*Feuil2!$H$3</f>
        <v>0</v>
      </c>
      <c r="AM143" s="3">
        <f>X143*Feuil2!$I$2</f>
        <v>0</v>
      </c>
      <c r="AN143" s="3">
        <f>Y143*Feuil2!$J$3</f>
        <v>22.709022598725461</v>
      </c>
      <c r="AO143" s="3">
        <f>Z143*Feuil2!$K$3</f>
        <v>142.10295066991475</v>
      </c>
      <c r="AP143" s="3">
        <f>AA143*Feuil2!$L$3</f>
        <v>0</v>
      </c>
      <c r="AQ143" s="3">
        <f>AB143*Feuil2!$M$3</f>
        <v>0</v>
      </c>
      <c r="AR143" s="3">
        <f>AC143*Feuil2!$N$3</f>
        <v>647.28507253247369</v>
      </c>
    </row>
    <row r="144" spans="1:44" x14ac:dyDescent="0.35">
      <c r="A144" t="s">
        <v>291</v>
      </c>
      <c r="B144" t="s">
        <v>292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578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578</v>
      </c>
      <c r="Q144" s="1">
        <f>C144/$C$434</f>
        <v>0</v>
      </c>
      <c r="R144" s="1">
        <f t="shared" si="33"/>
        <v>0</v>
      </c>
      <c r="S144" s="1">
        <f t="shared" si="23"/>
        <v>0</v>
      </c>
      <c r="T144" s="1">
        <f t="shared" si="24"/>
        <v>0</v>
      </c>
      <c r="U144" s="1">
        <f t="shared" si="25"/>
        <v>0</v>
      </c>
      <c r="V144" s="1">
        <f t="shared" si="26"/>
        <v>0</v>
      </c>
      <c r="W144" s="1">
        <f t="shared" si="27"/>
        <v>1.2942809798916207E-2</v>
      </c>
      <c r="X144" s="1">
        <f t="shared" si="28"/>
        <v>0</v>
      </c>
      <c r="Y144" s="1">
        <f t="shared" si="29"/>
        <v>0</v>
      </c>
      <c r="Z144" s="1">
        <f t="shared" si="34"/>
        <v>0</v>
      </c>
      <c r="AA144" s="1">
        <f t="shared" si="30"/>
        <v>0</v>
      </c>
      <c r="AB144" s="1">
        <f t="shared" si="31"/>
        <v>0</v>
      </c>
      <c r="AC144" s="1">
        <f t="shared" si="32"/>
        <v>1.5222864848350769E-3</v>
      </c>
      <c r="AD144" s="1" t="str">
        <f t="shared" si="35"/>
        <v>PASSARD</v>
      </c>
      <c r="AE144" s="1" t="str">
        <f t="shared" si="36"/>
        <v>3191</v>
      </c>
      <c r="AF144" s="3">
        <f>Q144*Feuil2!$B$3</f>
        <v>0</v>
      </c>
      <c r="AG144" s="3">
        <f>R144*Feuil2!$C$3</f>
        <v>0</v>
      </c>
      <c r="AH144" s="3">
        <f>S144*Feuil2!$D$3</f>
        <v>0</v>
      </c>
      <c r="AI144" s="3">
        <f>T144*Feuil2!$E$2</f>
        <v>0</v>
      </c>
      <c r="AJ144" s="3">
        <f>U144*Feuil2!$F$3</f>
        <v>0</v>
      </c>
      <c r="AK144" s="3">
        <f>V144*Feuil2!$G$3</f>
        <v>0</v>
      </c>
      <c r="AL144" s="3">
        <f>W144*Feuil2!$H$3</f>
        <v>470.56794840790008</v>
      </c>
      <c r="AM144" s="3">
        <f>X144*Feuil2!$I$2</f>
        <v>0</v>
      </c>
      <c r="AN144" s="3">
        <f>Y144*Feuil2!$J$3</f>
        <v>0</v>
      </c>
      <c r="AO144" s="3">
        <f>Z144*Feuil2!$K$3</f>
        <v>0</v>
      </c>
      <c r="AP144" s="3">
        <f>AA144*Feuil2!$L$3</f>
        <v>0</v>
      </c>
      <c r="AQ144" s="3">
        <f>AB144*Feuil2!$M$3</f>
        <v>0</v>
      </c>
      <c r="AR144" s="3">
        <f>AC144*Feuil2!$N$3</f>
        <v>637.36076988717184</v>
      </c>
    </row>
    <row r="145" spans="1:44" x14ac:dyDescent="0.35">
      <c r="A145" t="s">
        <v>293</v>
      </c>
      <c r="B145" t="s">
        <v>294</v>
      </c>
      <c r="C145">
        <v>167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65</v>
      </c>
      <c r="L145">
        <v>75</v>
      </c>
      <c r="M145">
        <v>252</v>
      </c>
      <c r="N145">
        <v>0</v>
      </c>
      <c r="O145">
        <v>559</v>
      </c>
      <c r="Q145" s="1">
        <f>C145/$C$434</f>
        <v>4.1225406699745733E-3</v>
      </c>
      <c r="R145" s="1">
        <f t="shared" si="33"/>
        <v>0</v>
      </c>
      <c r="S145" s="1">
        <f t="shared" si="23"/>
        <v>0</v>
      </c>
      <c r="T145" s="1">
        <f t="shared" si="24"/>
        <v>0</v>
      </c>
      <c r="U145" s="1">
        <f t="shared" si="25"/>
        <v>0</v>
      </c>
      <c r="V145" s="1">
        <f t="shared" si="26"/>
        <v>0</v>
      </c>
      <c r="W145" s="1">
        <f t="shared" si="27"/>
        <v>0</v>
      </c>
      <c r="X145" s="1">
        <f t="shared" si="28"/>
        <v>0</v>
      </c>
      <c r="Y145" s="1">
        <f t="shared" si="29"/>
        <v>1.6635528369974152E-3</v>
      </c>
      <c r="Z145" s="1">
        <f t="shared" si="34"/>
        <v>1.9031668696711328E-3</v>
      </c>
      <c r="AA145" s="1">
        <f t="shared" si="30"/>
        <v>6.3089903111934508E-3</v>
      </c>
      <c r="AB145" s="1">
        <f t="shared" si="31"/>
        <v>0</v>
      </c>
      <c r="AC145" s="1">
        <f t="shared" si="32"/>
        <v>1.4722459256449965E-3</v>
      </c>
      <c r="AD145" s="1" t="str">
        <f t="shared" si="35"/>
        <v>SARL DUMOTTIER</v>
      </c>
      <c r="AE145" s="1" t="str">
        <f t="shared" si="36"/>
        <v>2066</v>
      </c>
      <c r="AF145" s="3">
        <f>Q145*Feuil2!$B$3</f>
        <v>145.83454639709691</v>
      </c>
      <c r="AG145" s="3">
        <f>R145*Feuil2!$C$3</f>
        <v>0</v>
      </c>
      <c r="AH145" s="3">
        <f>S145*Feuil2!$D$3</f>
        <v>0</v>
      </c>
      <c r="AI145" s="3">
        <f>T145*Feuil2!$E$2</f>
        <v>0</v>
      </c>
      <c r="AJ145" s="3">
        <f>U145*Feuil2!$F$3</f>
        <v>0</v>
      </c>
      <c r="AK145" s="3">
        <f>V145*Feuil2!$G$3</f>
        <v>0</v>
      </c>
      <c r="AL145" s="3">
        <f>W145*Feuil2!$H$3</f>
        <v>0</v>
      </c>
      <c r="AM145" s="3">
        <f>X145*Feuil2!$I$2</f>
        <v>0</v>
      </c>
      <c r="AN145" s="3">
        <f>Y145*Feuil2!$J$3</f>
        <v>70.289831853197867</v>
      </c>
      <c r="AO145" s="3">
        <f>Z145*Feuil2!$K$3</f>
        <v>76.674253958587087</v>
      </c>
      <c r="AP145" s="3">
        <f>AA145*Feuil2!$L$3</f>
        <v>229.37898905940969</v>
      </c>
      <c r="AQ145" s="3">
        <f>AB145*Feuil2!$M$3</f>
        <v>0</v>
      </c>
      <c r="AR145" s="3">
        <f>AC145*Feuil2!$N$3</f>
        <v>616.40946430264535</v>
      </c>
    </row>
    <row r="146" spans="1:44" x14ac:dyDescent="0.35">
      <c r="A146" t="s">
        <v>295</v>
      </c>
      <c r="B146" t="s">
        <v>296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244</v>
      </c>
      <c r="J146">
        <v>0</v>
      </c>
      <c r="K146">
        <v>108</v>
      </c>
      <c r="L146">
        <v>0</v>
      </c>
      <c r="M146">
        <v>172</v>
      </c>
      <c r="N146">
        <v>0</v>
      </c>
      <c r="O146">
        <v>524</v>
      </c>
      <c r="Q146" s="1">
        <f>C146/$C$434</f>
        <v>0</v>
      </c>
      <c r="R146" s="1">
        <f t="shared" si="33"/>
        <v>0</v>
      </c>
      <c r="S146" s="1">
        <f t="shared" si="23"/>
        <v>0</v>
      </c>
      <c r="T146" s="1">
        <f t="shared" si="24"/>
        <v>0</v>
      </c>
      <c r="U146" s="1">
        <f t="shared" si="25"/>
        <v>0</v>
      </c>
      <c r="V146" s="1">
        <f t="shared" si="26"/>
        <v>0</v>
      </c>
      <c r="W146" s="1">
        <f t="shared" si="27"/>
        <v>5.4637466971203365E-3</v>
      </c>
      <c r="X146" s="1">
        <f t="shared" si="28"/>
        <v>0</v>
      </c>
      <c r="Y146" s="1">
        <f t="shared" si="29"/>
        <v>2.7640570214726282E-3</v>
      </c>
      <c r="Z146" s="1">
        <f t="shared" si="34"/>
        <v>0</v>
      </c>
      <c r="AA146" s="1">
        <f t="shared" si="30"/>
        <v>4.3061362441479106E-3</v>
      </c>
      <c r="AB146" s="1">
        <f t="shared" si="31"/>
        <v>0</v>
      </c>
      <c r="AC146" s="1">
        <f t="shared" si="32"/>
        <v>1.3800659481895852E-3</v>
      </c>
      <c r="AD146" s="1" t="str">
        <f t="shared" si="35"/>
        <v>DUFOUR SARL</v>
      </c>
      <c r="AE146" s="1" t="str">
        <f t="shared" si="36"/>
        <v>5273</v>
      </c>
      <c r="AF146" s="3">
        <f>Q146*Feuil2!$B$3</f>
        <v>0</v>
      </c>
      <c r="AG146" s="3">
        <f>R146*Feuil2!$C$3</f>
        <v>0</v>
      </c>
      <c r="AH146" s="3">
        <f>S146*Feuil2!$D$3</f>
        <v>0</v>
      </c>
      <c r="AI146" s="3">
        <f>T146*Feuil2!$E$2</f>
        <v>0</v>
      </c>
      <c r="AJ146" s="3">
        <f>U146*Feuil2!$F$3</f>
        <v>0</v>
      </c>
      <c r="AK146" s="3">
        <f>V146*Feuil2!$G$3</f>
        <v>0</v>
      </c>
      <c r="AL146" s="3">
        <f>W146*Feuil2!$H$3</f>
        <v>198.64806126561871</v>
      </c>
      <c r="AM146" s="3">
        <f>X146*Feuil2!$I$2</f>
        <v>0</v>
      </c>
      <c r="AN146" s="3">
        <f>Y146*Feuil2!$J$3</f>
        <v>116.78925907915954</v>
      </c>
      <c r="AO146" s="3">
        <f>Z146*Feuil2!$K$3</f>
        <v>0</v>
      </c>
      <c r="AP146" s="3">
        <f>AA146*Feuil2!$L$3</f>
        <v>156.56026237388278</v>
      </c>
      <c r="AQ146" s="3">
        <f>AB146*Feuil2!$M$3</f>
        <v>0</v>
      </c>
      <c r="AR146" s="3">
        <f>AC146*Feuil2!$N$3</f>
        <v>577.81495401535983</v>
      </c>
    </row>
    <row r="147" spans="1:44" x14ac:dyDescent="0.35">
      <c r="A147" t="s">
        <v>297</v>
      </c>
      <c r="B147" t="s">
        <v>298</v>
      </c>
      <c r="C147">
        <v>152</v>
      </c>
      <c r="D147">
        <v>0</v>
      </c>
      <c r="E147">
        <v>0</v>
      </c>
      <c r="F147">
        <v>126</v>
      </c>
      <c r="G147">
        <v>0</v>
      </c>
      <c r="H147">
        <v>0</v>
      </c>
      <c r="I147">
        <v>97</v>
      </c>
      <c r="J147">
        <v>0</v>
      </c>
      <c r="K147">
        <v>38</v>
      </c>
      <c r="L147">
        <v>110</v>
      </c>
      <c r="M147">
        <v>0</v>
      </c>
      <c r="N147">
        <v>0</v>
      </c>
      <c r="O147">
        <v>523</v>
      </c>
      <c r="Q147" s="1">
        <f>C147/$C$434</f>
        <v>3.7522525858451209E-3</v>
      </c>
      <c r="R147" s="1">
        <f t="shared" si="33"/>
        <v>0</v>
      </c>
      <c r="S147" s="1">
        <f t="shared" ref="S147:S210" si="37">E147/E$434</f>
        <v>0</v>
      </c>
      <c r="T147" s="1">
        <f t="shared" ref="T147:T210" si="38">F147/F$434</f>
        <v>5.0596313697144919E-3</v>
      </c>
      <c r="U147" s="1">
        <f t="shared" ref="U147:U210" si="39">G147/G$434</f>
        <v>0</v>
      </c>
      <c r="V147" s="1">
        <f t="shared" ref="V147:V210" si="40">H147/H$434</f>
        <v>0</v>
      </c>
      <c r="W147" s="1">
        <f t="shared" ref="W147:W210" si="41">I147/I$434</f>
        <v>2.1720632361502978E-3</v>
      </c>
      <c r="X147" s="1">
        <f t="shared" ref="X147:X210" si="42">J147/J$434</f>
        <v>0</v>
      </c>
      <c r="Y147" s="1">
        <f t="shared" ref="Y147:Y210" si="43">K147/K$434</f>
        <v>9.7253858162925811E-4</v>
      </c>
      <c r="Z147" s="1">
        <f t="shared" si="34"/>
        <v>2.7913114088509946E-3</v>
      </c>
      <c r="AA147" s="1">
        <f t="shared" si="30"/>
        <v>0</v>
      </c>
      <c r="AB147" s="1">
        <f t="shared" si="31"/>
        <v>0</v>
      </c>
      <c r="AC147" s="1">
        <f t="shared" si="32"/>
        <v>1.3774322345480022E-3</v>
      </c>
      <c r="AD147" s="1" t="str">
        <f t="shared" si="35"/>
        <v>GARAGE VOUILLY</v>
      </c>
      <c r="AE147" s="1" t="str">
        <f t="shared" si="36"/>
        <v>2089</v>
      </c>
      <c r="AF147" s="3">
        <f>Q147*Feuil2!$B$3</f>
        <v>132.73563504406428</v>
      </c>
      <c r="AG147" s="3">
        <f>R147*Feuil2!$C$3</f>
        <v>0</v>
      </c>
      <c r="AH147" s="3">
        <f>S147*Feuil2!$D$3</f>
        <v>0</v>
      </c>
      <c r="AI147" s="3">
        <f>T147*Feuil2!$E$2</f>
        <v>189.6501626310083</v>
      </c>
      <c r="AJ147" s="3">
        <f>U147*Feuil2!$F$3</f>
        <v>0</v>
      </c>
      <c r="AK147" s="3">
        <f>V147*Feuil2!$G$3</f>
        <v>0</v>
      </c>
      <c r="AL147" s="3">
        <f>W147*Feuil2!$H$3</f>
        <v>78.970745667069735</v>
      </c>
      <c r="AM147" s="3">
        <f>X147*Feuil2!$I$2</f>
        <v>0</v>
      </c>
      <c r="AN147" s="3">
        <f>Y147*Feuil2!$J$3</f>
        <v>41.092517083407984</v>
      </c>
      <c r="AO147" s="3">
        <f>Z147*Feuil2!$K$3</f>
        <v>112.4555724725944</v>
      </c>
      <c r="AP147" s="3">
        <f>AA147*Feuil2!$L$3</f>
        <v>0</v>
      </c>
      <c r="AQ147" s="3">
        <f>AB147*Feuil2!$M$3</f>
        <v>0</v>
      </c>
      <c r="AR147" s="3">
        <f>AC147*Feuil2!$N$3</f>
        <v>576.71225372143749</v>
      </c>
    </row>
    <row r="148" spans="1:44" x14ac:dyDescent="0.35">
      <c r="A148" t="s">
        <v>299</v>
      </c>
      <c r="B148" t="s">
        <v>300</v>
      </c>
      <c r="C148">
        <v>228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293</v>
      </c>
      <c r="N148">
        <v>0</v>
      </c>
      <c r="O148">
        <v>521</v>
      </c>
      <c r="Q148" s="1">
        <f>C148/$C$434</f>
        <v>5.6283788787676809E-3</v>
      </c>
      <c r="R148" s="1">
        <f t="shared" si="33"/>
        <v>0</v>
      </c>
      <c r="S148" s="1">
        <f t="shared" si="37"/>
        <v>0</v>
      </c>
      <c r="T148" s="1">
        <f t="shared" si="38"/>
        <v>0</v>
      </c>
      <c r="U148" s="1">
        <f t="shared" si="39"/>
        <v>0</v>
      </c>
      <c r="V148" s="1">
        <f t="shared" si="40"/>
        <v>0</v>
      </c>
      <c r="W148" s="1">
        <f t="shared" si="41"/>
        <v>0</v>
      </c>
      <c r="X148" s="1">
        <f t="shared" si="42"/>
        <v>0</v>
      </c>
      <c r="Y148" s="1">
        <f t="shared" si="43"/>
        <v>0</v>
      </c>
      <c r="Z148" s="1">
        <f t="shared" si="34"/>
        <v>0</v>
      </c>
      <c r="AA148" s="1">
        <f t="shared" si="30"/>
        <v>7.3354530205542896E-3</v>
      </c>
      <c r="AB148" s="1">
        <f t="shared" si="31"/>
        <v>0</v>
      </c>
      <c r="AC148" s="1">
        <f t="shared" si="32"/>
        <v>1.3721648072648356E-3</v>
      </c>
      <c r="AD148" s="1" t="str">
        <f t="shared" si="35"/>
        <v>GARAGE DES RONCHETTES CONCES O</v>
      </c>
      <c r="AE148" s="1" t="str">
        <f t="shared" si="36"/>
        <v>2154</v>
      </c>
      <c r="AF148" s="3">
        <f>Q148*Feuil2!$B$3</f>
        <v>199.10345256609639</v>
      </c>
      <c r="AG148" s="3">
        <f>R148*Feuil2!$C$3</f>
        <v>0</v>
      </c>
      <c r="AH148" s="3">
        <f>S148*Feuil2!$D$3</f>
        <v>0</v>
      </c>
      <c r="AI148" s="3">
        <f>T148*Feuil2!$E$2</f>
        <v>0</v>
      </c>
      <c r="AJ148" s="3">
        <f>U148*Feuil2!$F$3</f>
        <v>0</v>
      </c>
      <c r="AK148" s="3">
        <f>V148*Feuil2!$G$3</f>
        <v>0</v>
      </c>
      <c r="AL148" s="3">
        <f>W148*Feuil2!$H$3</f>
        <v>0</v>
      </c>
      <c r="AM148" s="3">
        <f>X148*Feuil2!$I$2</f>
        <v>0</v>
      </c>
      <c r="AN148" s="3">
        <f>Y148*Feuil2!$J$3</f>
        <v>0</v>
      </c>
      <c r="AO148" s="3">
        <f>Z148*Feuil2!$K$3</f>
        <v>0</v>
      </c>
      <c r="AP148" s="3">
        <f>AA148*Feuil2!$L$3</f>
        <v>266.69858648574223</v>
      </c>
      <c r="AQ148" s="3">
        <f>AB148*Feuil2!$M$3</f>
        <v>0</v>
      </c>
      <c r="AR148" s="3">
        <f>AC148*Feuil2!$N$3</f>
        <v>574.50685313359247</v>
      </c>
    </row>
    <row r="149" spans="1:44" x14ac:dyDescent="0.35">
      <c r="A149" t="s">
        <v>301</v>
      </c>
      <c r="B149" t="s">
        <v>302</v>
      </c>
      <c r="C149">
        <v>20</v>
      </c>
      <c r="D149">
        <v>138</v>
      </c>
      <c r="E149">
        <v>18</v>
      </c>
      <c r="F149">
        <v>83</v>
      </c>
      <c r="G149">
        <v>21</v>
      </c>
      <c r="H149">
        <v>44</v>
      </c>
      <c r="I149">
        <v>0</v>
      </c>
      <c r="J149">
        <v>0</v>
      </c>
      <c r="K149">
        <v>123</v>
      </c>
      <c r="L149">
        <v>19</v>
      </c>
      <c r="M149">
        <v>53</v>
      </c>
      <c r="N149">
        <v>0</v>
      </c>
      <c r="O149">
        <v>519</v>
      </c>
      <c r="Q149" s="1">
        <f>C149/$C$434</f>
        <v>4.937174455059369E-4</v>
      </c>
      <c r="R149" s="1">
        <f t="shared" si="33"/>
        <v>5.8173847061799176E-3</v>
      </c>
      <c r="S149" s="1">
        <f t="shared" si="37"/>
        <v>6.1101870396143793E-4</v>
      </c>
      <c r="T149" s="1">
        <f t="shared" si="38"/>
        <v>3.3329317752881179E-3</v>
      </c>
      <c r="U149" s="1">
        <f t="shared" si="39"/>
        <v>1.0010487177042615E-3</v>
      </c>
      <c r="V149" s="1">
        <f t="shared" si="40"/>
        <v>1.4729019515950859E-3</v>
      </c>
      <c r="W149" s="1">
        <f t="shared" si="41"/>
        <v>0</v>
      </c>
      <c r="X149" s="1">
        <f t="shared" si="42"/>
        <v>0</v>
      </c>
      <c r="Y149" s="1">
        <f t="shared" si="43"/>
        <v>3.1479538300104933E-3</v>
      </c>
      <c r="Z149" s="1">
        <f t="shared" si="34"/>
        <v>4.8213560698335363E-4</v>
      </c>
      <c r="AA149" s="1">
        <f t="shared" si="30"/>
        <v>1.3268908194176703E-3</v>
      </c>
      <c r="AB149" s="1">
        <f t="shared" si="31"/>
        <v>0</v>
      </c>
      <c r="AC149" s="1">
        <f t="shared" si="32"/>
        <v>1.3668973799816693E-3</v>
      </c>
      <c r="AD149" s="1" t="str">
        <f t="shared" si="35"/>
        <v>LE NEUBOURG TECHNIQUE AUTO</v>
      </c>
      <c r="AE149" s="1" t="str">
        <f t="shared" si="36"/>
        <v>135324</v>
      </c>
      <c r="AF149" s="3">
        <f>Q149*Feuil2!$B$3</f>
        <v>17.465215137376877</v>
      </c>
      <c r="AG149" s="3">
        <f>R149*Feuil2!$C$3</f>
        <v>205.78951859033808</v>
      </c>
      <c r="AH149" s="3">
        <f>S149*Feuil2!$D$3</f>
        <v>24.011690824535798</v>
      </c>
      <c r="AI149" s="3">
        <f>T149*Feuil2!$E$2</f>
        <v>124.92828173312452</v>
      </c>
      <c r="AJ149" s="3">
        <f>U149*Feuil2!$F$3</f>
        <v>25.575193059395556</v>
      </c>
      <c r="AK149" s="3">
        <f>V149*Feuil2!$G$3</f>
        <v>59.339861413316378</v>
      </c>
      <c r="AL149" s="3">
        <f>W149*Feuil2!$H$3</f>
        <v>0</v>
      </c>
      <c r="AM149" s="3">
        <f>X149*Feuil2!$I$2</f>
        <v>0</v>
      </c>
      <c r="AN149" s="3">
        <f>Y149*Feuil2!$J$3</f>
        <v>133.00998950682057</v>
      </c>
      <c r="AO149" s="3">
        <f>Z149*Feuil2!$K$3</f>
        <v>19.424144336175395</v>
      </c>
      <c r="AP149" s="3">
        <f>AA149*Feuil2!$L$3</f>
        <v>48.242406429161562</v>
      </c>
      <c r="AQ149" s="3">
        <f>AB149*Feuil2!$M$3</f>
        <v>0</v>
      </c>
      <c r="AR149" s="3">
        <f>AC149*Feuil2!$N$3</f>
        <v>572.30145254574768</v>
      </c>
    </row>
    <row r="150" spans="1:44" x14ac:dyDescent="0.35">
      <c r="A150" t="s">
        <v>303</v>
      </c>
      <c r="B150" t="s">
        <v>304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515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515</v>
      </c>
      <c r="Q150" s="1">
        <f>C150/$C$434</f>
        <v>0</v>
      </c>
      <c r="R150" s="1">
        <f t="shared" si="33"/>
        <v>0</v>
      </c>
      <c r="S150" s="1">
        <f t="shared" si="37"/>
        <v>0</v>
      </c>
      <c r="T150" s="1">
        <f t="shared" si="38"/>
        <v>0</v>
      </c>
      <c r="U150" s="1">
        <f t="shared" si="39"/>
        <v>0</v>
      </c>
      <c r="V150" s="1">
        <f t="shared" si="40"/>
        <v>1.7239647842533391E-2</v>
      </c>
      <c r="W150" s="1">
        <f t="shared" si="41"/>
        <v>0</v>
      </c>
      <c r="X150" s="1">
        <f t="shared" si="42"/>
        <v>0</v>
      </c>
      <c r="Y150" s="1">
        <f t="shared" si="43"/>
        <v>0</v>
      </c>
      <c r="Z150" s="1">
        <f t="shared" si="34"/>
        <v>0</v>
      </c>
      <c r="AA150" s="1">
        <f t="shared" si="30"/>
        <v>0</v>
      </c>
      <c r="AB150" s="1">
        <f t="shared" si="31"/>
        <v>0</v>
      </c>
      <c r="AC150" s="1">
        <f t="shared" si="32"/>
        <v>1.3563625254153367E-3</v>
      </c>
      <c r="AD150" s="1" t="str">
        <f t="shared" si="35"/>
        <v>SARL CVIO  BOSCH CAR SERVICE</v>
      </c>
      <c r="AE150" s="1" t="str">
        <f t="shared" si="36"/>
        <v>6162</v>
      </c>
      <c r="AF150" s="3">
        <f>Q150*Feuil2!$B$3</f>
        <v>0</v>
      </c>
      <c r="AG150" s="3">
        <f>R150*Feuil2!$C$3</f>
        <v>0</v>
      </c>
      <c r="AH150" s="3">
        <f>S150*Feuil2!$D$3</f>
        <v>0</v>
      </c>
      <c r="AI150" s="3">
        <f>T150*Feuil2!$E$2</f>
        <v>0</v>
      </c>
      <c r="AJ150" s="3">
        <f>U150*Feuil2!$F$3</f>
        <v>0</v>
      </c>
      <c r="AK150" s="3">
        <f>V150*Feuil2!$G$3</f>
        <v>694.5461051785893</v>
      </c>
      <c r="AL150" s="3">
        <f>W150*Feuil2!$H$3</f>
        <v>0</v>
      </c>
      <c r="AM150" s="3">
        <f>X150*Feuil2!$I$2</f>
        <v>0</v>
      </c>
      <c r="AN150" s="3">
        <f>Y150*Feuil2!$J$3</f>
        <v>0</v>
      </c>
      <c r="AO150" s="3">
        <f>Z150*Feuil2!$K$3</f>
        <v>0</v>
      </c>
      <c r="AP150" s="3">
        <f>AA150*Feuil2!$L$3</f>
        <v>0</v>
      </c>
      <c r="AQ150" s="3">
        <f>AB150*Feuil2!$M$3</f>
        <v>0</v>
      </c>
      <c r="AR150" s="3">
        <f>AC150*Feuil2!$N$3</f>
        <v>567.89065137005798</v>
      </c>
    </row>
    <row r="151" spans="1:44" x14ac:dyDescent="0.35">
      <c r="A151" t="s">
        <v>305</v>
      </c>
      <c r="B151" t="s">
        <v>306</v>
      </c>
      <c r="C151">
        <v>0</v>
      </c>
      <c r="D151">
        <v>203</v>
      </c>
      <c r="E151">
        <v>0</v>
      </c>
      <c r="F151">
        <v>0</v>
      </c>
      <c r="G151">
        <v>0</v>
      </c>
      <c r="H151">
        <v>0</v>
      </c>
      <c r="I151">
        <v>169</v>
      </c>
      <c r="J151">
        <v>125</v>
      </c>
      <c r="K151">
        <v>-4</v>
      </c>
      <c r="L151">
        <v>0</v>
      </c>
      <c r="M151">
        <v>0</v>
      </c>
      <c r="N151">
        <v>0</v>
      </c>
      <c r="O151">
        <v>493</v>
      </c>
      <c r="Q151" s="1">
        <f>C151/$C$434</f>
        <v>0</v>
      </c>
      <c r="R151" s="1">
        <f t="shared" si="33"/>
        <v>8.557457212713936E-3</v>
      </c>
      <c r="S151" s="1">
        <f t="shared" si="37"/>
        <v>0</v>
      </c>
      <c r="T151" s="1">
        <f t="shared" si="38"/>
        <v>0</v>
      </c>
      <c r="U151" s="1">
        <f t="shared" si="39"/>
        <v>0</v>
      </c>
      <c r="V151" s="1">
        <f t="shared" si="40"/>
        <v>0</v>
      </c>
      <c r="W151" s="1">
        <f t="shared" si="41"/>
        <v>3.7843163598907251E-3</v>
      </c>
      <c r="X151" s="1">
        <f t="shared" si="42"/>
        <v>6.678063895715354E-3</v>
      </c>
      <c r="Y151" s="1">
        <f t="shared" si="43"/>
        <v>-1.02372482276764E-4</v>
      </c>
      <c r="Z151" s="1">
        <f t="shared" si="34"/>
        <v>0</v>
      </c>
      <c r="AA151" s="1">
        <f t="shared" si="30"/>
        <v>0</v>
      </c>
      <c r="AB151" s="1">
        <f t="shared" si="31"/>
        <v>0</v>
      </c>
      <c r="AC151" s="1">
        <f t="shared" si="32"/>
        <v>1.2984208253005068E-3</v>
      </c>
      <c r="AD151" s="1" t="str">
        <f t="shared" si="35"/>
        <v>MORIN OUISTREHAM AUTO</v>
      </c>
      <c r="AE151" s="1" t="str">
        <f t="shared" si="36"/>
        <v>3383</v>
      </c>
      <c r="AF151" s="3">
        <f>Q151*Feuil2!$B$3</f>
        <v>0</v>
      </c>
      <c r="AG151" s="3">
        <f>R151*Feuil2!$C$3</f>
        <v>302.71936430317845</v>
      </c>
      <c r="AH151" s="3">
        <f>S151*Feuil2!$D$3</f>
        <v>0</v>
      </c>
      <c r="AI151" s="3">
        <f>T151*Feuil2!$E$2</f>
        <v>0</v>
      </c>
      <c r="AJ151" s="3">
        <f>U151*Feuil2!$F$3</f>
        <v>0</v>
      </c>
      <c r="AK151" s="3">
        <f>V151*Feuil2!$G$3</f>
        <v>0</v>
      </c>
      <c r="AL151" s="3">
        <f>W151*Feuil2!$H$3</f>
        <v>137.58820636839985</v>
      </c>
      <c r="AM151" s="3">
        <f>X151*Feuil2!$I$2</f>
        <v>142.65680094027138</v>
      </c>
      <c r="AN151" s="3">
        <f>Y151*Feuil2!$J$3</f>
        <v>-4.325528114042946</v>
      </c>
      <c r="AO151" s="3">
        <f>Z151*Feuil2!$K$3</f>
        <v>0</v>
      </c>
      <c r="AP151" s="3">
        <f>AA151*Feuil2!$L$3</f>
        <v>0</v>
      </c>
      <c r="AQ151" s="3">
        <f>AB151*Feuil2!$M$3</f>
        <v>0</v>
      </c>
      <c r="AR151" s="3">
        <f>AC151*Feuil2!$N$3</f>
        <v>543.63124490376413</v>
      </c>
    </row>
    <row r="152" spans="1:44" x14ac:dyDescent="0.35">
      <c r="A152" t="s">
        <v>307</v>
      </c>
      <c r="B152" t="s">
        <v>308</v>
      </c>
      <c r="C152">
        <v>266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36</v>
      </c>
      <c r="L152">
        <v>190</v>
      </c>
      <c r="M152">
        <v>0</v>
      </c>
      <c r="N152">
        <v>0</v>
      </c>
      <c r="O152">
        <v>492</v>
      </c>
      <c r="Q152" s="1">
        <f>C152/$C$434</f>
        <v>6.5664420252289617E-3</v>
      </c>
      <c r="R152" s="1">
        <f t="shared" si="33"/>
        <v>0</v>
      </c>
      <c r="S152" s="1">
        <f t="shared" si="37"/>
        <v>0</v>
      </c>
      <c r="T152" s="1">
        <f t="shared" si="38"/>
        <v>0</v>
      </c>
      <c r="U152" s="1">
        <f t="shared" si="39"/>
        <v>0</v>
      </c>
      <c r="V152" s="1">
        <f t="shared" si="40"/>
        <v>0</v>
      </c>
      <c r="W152" s="1">
        <f t="shared" si="41"/>
        <v>0</v>
      </c>
      <c r="X152" s="1">
        <f t="shared" si="42"/>
        <v>0</v>
      </c>
      <c r="Y152" s="1">
        <f t="shared" si="43"/>
        <v>9.2135234049087601E-4</v>
      </c>
      <c r="Z152" s="1">
        <f t="shared" si="34"/>
        <v>4.8213560698335363E-3</v>
      </c>
      <c r="AA152" s="1">
        <f t="shared" si="30"/>
        <v>0</v>
      </c>
      <c r="AB152" s="1">
        <f t="shared" si="31"/>
        <v>0</v>
      </c>
      <c r="AC152" s="1">
        <f t="shared" si="32"/>
        <v>1.2957871116589235E-3</v>
      </c>
      <c r="AD152" s="1" t="str">
        <f t="shared" si="35"/>
        <v>LEMONNIER</v>
      </c>
      <c r="AE152" s="1" t="str">
        <f t="shared" si="36"/>
        <v>2014</v>
      </c>
      <c r="AF152" s="3">
        <f>Q152*Feuil2!$B$3</f>
        <v>232.28736132711248</v>
      </c>
      <c r="AG152" s="3">
        <f>R152*Feuil2!$C$3</f>
        <v>0</v>
      </c>
      <c r="AH152" s="3">
        <f>S152*Feuil2!$D$3</f>
        <v>0</v>
      </c>
      <c r="AI152" s="3">
        <f>T152*Feuil2!$E$2</f>
        <v>0</v>
      </c>
      <c r="AJ152" s="3">
        <f>U152*Feuil2!$F$3</f>
        <v>0</v>
      </c>
      <c r="AK152" s="3">
        <f>V152*Feuil2!$G$3</f>
        <v>0</v>
      </c>
      <c r="AL152" s="3">
        <f>W152*Feuil2!$H$3</f>
        <v>0</v>
      </c>
      <c r="AM152" s="3">
        <f>X152*Feuil2!$I$2</f>
        <v>0</v>
      </c>
      <c r="AN152" s="3">
        <f>Y152*Feuil2!$J$3</f>
        <v>38.929753026386507</v>
      </c>
      <c r="AO152" s="3">
        <f>Z152*Feuil2!$K$3</f>
        <v>194.24144336175397</v>
      </c>
      <c r="AP152" s="3">
        <f>AA152*Feuil2!$L$3</f>
        <v>0</v>
      </c>
      <c r="AQ152" s="3">
        <f>AB152*Feuil2!$M$3</f>
        <v>0</v>
      </c>
      <c r="AR152" s="3">
        <f>AC152*Feuil2!$N$3</f>
        <v>542.52854460984167</v>
      </c>
    </row>
    <row r="153" spans="1:44" x14ac:dyDescent="0.35">
      <c r="A153" t="s">
        <v>309</v>
      </c>
      <c r="B153" t="s">
        <v>310</v>
      </c>
      <c r="C153">
        <v>274</v>
      </c>
      <c r="D153">
        <v>37</v>
      </c>
      <c r="E153">
        <v>38</v>
      </c>
      <c r="F153">
        <v>62</v>
      </c>
      <c r="G153">
        <v>75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486</v>
      </c>
      <c r="Q153" s="1">
        <f>C153/$C$434</f>
        <v>6.7639290034313361E-3</v>
      </c>
      <c r="R153" s="1">
        <f t="shared" si="33"/>
        <v>1.5597335806424417E-3</v>
      </c>
      <c r="S153" s="1">
        <f t="shared" si="37"/>
        <v>1.2899283750297023E-3</v>
      </c>
      <c r="T153" s="1">
        <f t="shared" si="38"/>
        <v>2.4896598803357027E-3</v>
      </c>
      <c r="U153" s="1">
        <f t="shared" si="39"/>
        <v>3.5751739918009344E-3</v>
      </c>
      <c r="V153" s="1">
        <f t="shared" si="40"/>
        <v>0</v>
      </c>
      <c r="W153" s="1">
        <f t="shared" si="41"/>
        <v>0</v>
      </c>
      <c r="X153" s="1">
        <f t="shared" si="42"/>
        <v>0</v>
      </c>
      <c r="Y153" s="1">
        <f t="shared" si="43"/>
        <v>0</v>
      </c>
      <c r="Z153" s="1">
        <f t="shared" si="34"/>
        <v>0</v>
      </c>
      <c r="AA153" s="1">
        <f t="shared" si="30"/>
        <v>0</v>
      </c>
      <c r="AB153" s="1">
        <f t="shared" si="31"/>
        <v>0</v>
      </c>
      <c r="AC153" s="1">
        <f t="shared" si="32"/>
        <v>1.2799848298094246E-3</v>
      </c>
      <c r="AD153" s="1" t="str">
        <f t="shared" si="35"/>
        <v>QUIGNETTE SARL</v>
      </c>
      <c r="AE153" s="1" t="str">
        <f t="shared" si="36"/>
        <v>3348</v>
      </c>
      <c r="AF153" s="3">
        <f>Q153*Feuil2!$B$3</f>
        <v>239.27344738206324</v>
      </c>
      <c r="AG153" s="3">
        <f>R153*Feuil2!$C$3</f>
        <v>55.175450636539921</v>
      </c>
      <c r="AH153" s="3">
        <f>S153*Feuil2!$D$3</f>
        <v>50.691347296242235</v>
      </c>
      <c r="AI153" s="3">
        <f>T153*Feuil2!$E$2</f>
        <v>93.319921294623143</v>
      </c>
      <c r="AJ153" s="3">
        <f>U153*Feuil2!$F$3</f>
        <v>91.339975212127001</v>
      </c>
      <c r="AK153" s="3">
        <f>V153*Feuil2!$G$3</f>
        <v>0</v>
      </c>
      <c r="AL153" s="3">
        <f>W153*Feuil2!$H$3</f>
        <v>0</v>
      </c>
      <c r="AM153" s="3">
        <f>X153*Feuil2!$I$2</f>
        <v>0</v>
      </c>
      <c r="AN153" s="3">
        <f>Y153*Feuil2!$J$3</f>
        <v>0</v>
      </c>
      <c r="AO153" s="3">
        <f>Z153*Feuil2!$K$3</f>
        <v>0</v>
      </c>
      <c r="AP153" s="3">
        <f>AA153*Feuil2!$L$3</f>
        <v>0</v>
      </c>
      <c r="AQ153" s="3">
        <f>AB153*Feuil2!$M$3</f>
        <v>0</v>
      </c>
      <c r="AR153" s="3">
        <f>AC153*Feuil2!$N$3</f>
        <v>535.91234284630707</v>
      </c>
    </row>
    <row r="154" spans="1:44" x14ac:dyDescent="0.35">
      <c r="A154" t="s">
        <v>311</v>
      </c>
      <c r="B154" t="s">
        <v>312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417</v>
      </c>
      <c r="I154">
        <v>66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483</v>
      </c>
      <c r="Q154" s="1">
        <f>C154/$C$434</f>
        <v>0</v>
      </c>
      <c r="R154" s="1">
        <f t="shared" si="33"/>
        <v>0</v>
      </c>
      <c r="S154" s="1">
        <f t="shared" si="37"/>
        <v>0</v>
      </c>
      <c r="T154" s="1">
        <f t="shared" si="38"/>
        <v>0</v>
      </c>
      <c r="U154" s="1">
        <f t="shared" si="39"/>
        <v>0</v>
      </c>
      <c r="V154" s="1">
        <f t="shared" si="40"/>
        <v>1.3959093495798882E-2</v>
      </c>
      <c r="W154" s="1">
        <f t="shared" si="41"/>
        <v>1.4778986967620583E-3</v>
      </c>
      <c r="X154" s="1">
        <f t="shared" si="42"/>
        <v>0</v>
      </c>
      <c r="Y154" s="1">
        <f t="shared" si="43"/>
        <v>0</v>
      </c>
      <c r="Z154" s="1">
        <f t="shared" si="34"/>
        <v>0</v>
      </c>
      <c r="AA154" s="1">
        <f t="shared" si="30"/>
        <v>0</v>
      </c>
      <c r="AB154" s="1">
        <f t="shared" si="31"/>
        <v>0</v>
      </c>
      <c r="AC154" s="1">
        <f t="shared" si="32"/>
        <v>1.272083688884675E-3</v>
      </c>
      <c r="AD154" s="1" t="str">
        <f t="shared" si="35"/>
        <v>M-Y AUTOMOBILE</v>
      </c>
      <c r="AE154" s="1" t="str">
        <f t="shared" si="36"/>
        <v>3193</v>
      </c>
      <c r="AF154" s="3">
        <f>Q154*Feuil2!$B$3</f>
        <v>0</v>
      </c>
      <c r="AG154" s="3">
        <f>R154*Feuil2!$C$3</f>
        <v>0</v>
      </c>
      <c r="AH154" s="3">
        <f>S154*Feuil2!$D$3</f>
        <v>0</v>
      </c>
      <c r="AI154" s="3">
        <f>T154*Feuil2!$E$2</f>
        <v>0</v>
      </c>
      <c r="AJ154" s="3">
        <f>U154*Feuil2!$F$3</f>
        <v>0</v>
      </c>
      <c r="AK154" s="3">
        <f>V154*Feuil2!$G$3</f>
        <v>562.38005021256652</v>
      </c>
      <c r="AL154" s="3">
        <f>W154*Feuil2!$H$3</f>
        <v>53.732672309552605</v>
      </c>
      <c r="AM154" s="3">
        <f>X154*Feuil2!$I$2</f>
        <v>0</v>
      </c>
      <c r="AN154" s="3">
        <f>Y154*Feuil2!$J$3</f>
        <v>0</v>
      </c>
      <c r="AO154" s="3">
        <f>Z154*Feuil2!$K$3</f>
        <v>0</v>
      </c>
      <c r="AP154" s="3">
        <f>AA154*Feuil2!$L$3</f>
        <v>0</v>
      </c>
      <c r="AQ154" s="3">
        <f>AB154*Feuil2!$M$3</f>
        <v>0</v>
      </c>
      <c r="AR154" s="3">
        <f>AC154*Feuil2!$N$3</f>
        <v>532.60424196453971</v>
      </c>
    </row>
    <row r="155" spans="1:44" x14ac:dyDescent="0.35">
      <c r="A155" t="s">
        <v>313</v>
      </c>
      <c r="B155" t="s">
        <v>314</v>
      </c>
      <c r="C155">
        <v>0</v>
      </c>
      <c r="D155">
        <v>0</v>
      </c>
      <c r="E155">
        <v>0</v>
      </c>
      <c r="F155">
        <v>258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224</v>
      </c>
      <c r="M155">
        <v>0</v>
      </c>
      <c r="N155">
        <v>0</v>
      </c>
      <c r="O155">
        <v>482</v>
      </c>
      <c r="Q155" s="1">
        <f>C155/$C$434</f>
        <v>0</v>
      </c>
      <c r="R155" s="1">
        <f t="shared" si="33"/>
        <v>0</v>
      </c>
      <c r="S155" s="1">
        <f t="shared" si="37"/>
        <v>0</v>
      </c>
      <c r="T155" s="1">
        <f t="shared" si="38"/>
        <v>1.0360197566558246E-2</v>
      </c>
      <c r="U155" s="1">
        <f t="shared" si="39"/>
        <v>0</v>
      </c>
      <c r="V155" s="1">
        <f t="shared" si="40"/>
        <v>0</v>
      </c>
      <c r="W155" s="1">
        <f t="shared" si="41"/>
        <v>0</v>
      </c>
      <c r="X155" s="1">
        <f t="shared" si="42"/>
        <v>0</v>
      </c>
      <c r="Y155" s="1">
        <f t="shared" si="43"/>
        <v>0</v>
      </c>
      <c r="Z155" s="1">
        <f t="shared" si="34"/>
        <v>5.6841250507511168E-3</v>
      </c>
      <c r="AA155" s="1">
        <f t="shared" si="30"/>
        <v>0</v>
      </c>
      <c r="AB155" s="1">
        <f t="shared" si="31"/>
        <v>0</v>
      </c>
      <c r="AC155" s="1">
        <f t="shared" si="32"/>
        <v>1.2694499752430918E-3</v>
      </c>
      <c r="AD155" s="1" t="str">
        <f t="shared" si="35"/>
        <v>LMA</v>
      </c>
      <c r="AE155" s="1" t="str">
        <f t="shared" si="36"/>
        <v>5311</v>
      </c>
      <c r="AF155" s="3">
        <f>Q155*Feuil2!$B$3</f>
        <v>0</v>
      </c>
      <c r="AG155" s="3">
        <f>R155*Feuil2!$C$3</f>
        <v>0</v>
      </c>
      <c r="AH155" s="3">
        <f>S155*Feuil2!$D$3</f>
        <v>0</v>
      </c>
      <c r="AI155" s="3">
        <f>T155*Feuil2!$E$2</f>
        <v>388.33128538730273</v>
      </c>
      <c r="AJ155" s="3">
        <f>U155*Feuil2!$F$3</f>
        <v>0</v>
      </c>
      <c r="AK155" s="3">
        <f>V155*Feuil2!$G$3</f>
        <v>0</v>
      </c>
      <c r="AL155" s="3">
        <f>W155*Feuil2!$H$3</f>
        <v>0</v>
      </c>
      <c r="AM155" s="3">
        <f>X155*Feuil2!$I$2</f>
        <v>0</v>
      </c>
      <c r="AN155" s="3">
        <f>Y155*Feuil2!$J$3</f>
        <v>0</v>
      </c>
      <c r="AO155" s="3">
        <f>Z155*Feuil2!$K$3</f>
        <v>229.0004384896468</v>
      </c>
      <c r="AP155" s="3">
        <f>AA155*Feuil2!$L$3</f>
        <v>0</v>
      </c>
      <c r="AQ155" s="3">
        <f>AB155*Feuil2!$M$3</f>
        <v>0</v>
      </c>
      <c r="AR155" s="3">
        <f>AC155*Feuil2!$N$3</f>
        <v>531.50154167061726</v>
      </c>
    </row>
    <row r="156" spans="1:44" x14ac:dyDescent="0.35">
      <c r="A156" t="s">
        <v>315</v>
      </c>
      <c r="B156" t="s">
        <v>316</v>
      </c>
      <c r="C156">
        <v>63</v>
      </c>
      <c r="D156">
        <v>0</v>
      </c>
      <c r="E156">
        <v>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119</v>
      </c>
      <c r="L156">
        <v>84</v>
      </c>
      <c r="M156">
        <v>194</v>
      </c>
      <c r="N156">
        <v>0</v>
      </c>
      <c r="O156">
        <v>472</v>
      </c>
      <c r="Q156" s="1">
        <f>C156/$C$434</f>
        <v>1.5552099533437014E-3</v>
      </c>
      <c r="R156" s="1">
        <f t="shared" si="33"/>
        <v>0</v>
      </c>
      <c r="S156" s="1">
        <f t="shared" si="37"/>
        <v>4.0734580264095862E-4</v>
      </c>
      <c r="T156" s="1">
        <f t="shared" si="38"/>
        <v>0</v>
      </c>
      <c r="U156" s="1">
        <f t="shared" si="39"/>
        <v>0</v>
      </c>
      <c r="V156" s="1">
        <f t="shared" si="40"/>
        <v>0</v>
      </c>
      <c r="W156" s="1">
        <f t="shared" si="41"/>
        <v>0</v>
      </c>
      <c r="X156" s="1">
        <f t="shared" si="42"/>
        <v>0</v>
      </c>
      <c r="Y156" s="1">
        <f t="shared" si="43"/>
        <v>3.0455813477337293E-3</v>
      </c>
      <c r="Z156" s="1">
        <f t="shared" si="34"/>
        <v>2.1315468940316688E-3</v>
      </c>
      <c r="AA156" s="1">
        <f t="shared" si="30"/>
        <v>4.8569211125854342E-3</v>
      </c>
      <c r="AB156" s="1">
        <f t="shared" si="31"/>
        <v>0</v>
      </c>
      <c r="AC156" s="1">
        <f t="shared" si="32"/>
        <v>1.24311283882726E-3</v>
      </c>
      <c r="AD156" s="1" t="str">
        <f t="shared" si="35"/>
        <v>SAMMAR AUTOMOBILES</v>
      </c>
      <c r="AE156" s="1" t="str">
        <f t="shared" si="36"/>
        <v>3416</v>
      </c>
      <c r="AF156" s="3">
        <f>Q156*Feuil2!$B$3</f>
        <v>55.015427682737169</v>
      </c>
      <c r="AG156" s="3">
        <f>R156*Feuil2!$C$3</f>
        <v>0</v>
      </c>
      <c r="AH156" s="3">
        <f>S156*Feuil2!$D$3</f>
        <v>16.007793883023865</v>
      </c>
      <c r="AI156" s="3">
        <f>T156*Feuil2!$E$2</f>
        <v>0</v>
      </c>
      <c r="AJ156" s="3">
        <f>U156*Feuil2!$F$3</f>
        <v>0</v>
      </c>
      <c r="AK156" s="3">
        <f>V156*Feuil2!$G$3</f>
        <v>0</v>
      </c>
      <c r="AL156" s="3">
        <f>W156*Feuil2!$H$3</f>
        <v>0</v>
      </c>
      <c r="AM156" s="3">
        <f>X156*Feuil2!$I$2</f>
        <v>0</v>
      </c>
      <c r="AN156" s="3">
        <f>Y156*Feuil2!$J$3</f>
        <v>128.68446139277765</v>
      </c>
      <c r="AO156" s="3">
        <f>Z156*Feuil2!$K$3</f>
        <v>85.875164433617542</v>
      </c>
      <c r="AP156" s="3">
        <f>AA156*Feuil2!$L$3</f>
        <v>176.58541221240267</v>
      </c>
      <c r="AQ156" s="3">
        <f>AB156*Feuil2!$M$3</f>
        <v>0</v>
      </c>
      <c r="AR156" s="3">
        <f>AC156*Feuil2!$N$3</f>
        <v>520.47453873139284</v>
      </c>
    </row>
    <row r="157" spans="1:44" x14ac:dyDescent="0.35">
      <c r="A157" t="s">
        <v>317</v>
      </c>
      <c r="B157" t="s">
        <v>318</v>
      </c>
      <c r="C157">
        <v>16</v>
      </c>
      <c r="D157">
        <v>0</v>
      </c>
      <c r="E157">
        <v>21</v>
      </c>
      <c r="F157">
        <v>18</v>
      </c>
      <c r="G157">
        <v>87</v>
      </c>
      <c r="H157">
        <v>22</v>
      </c>
      <c r="I157">
        <v>24</v>
      </c>
      <c r="J157">
        <v>21</v>
      </c>
      <c r="K157">
        <v>130</v>
      </c>
      <c r="L157">
        <v>19</v>
      </c>
      <c r="M157">
        <v>112</v>
      </c>
      <c r="N157">
        <v>0</v>
      </c>
      <c r="O157">
        <v>470</v>
      </c>
      <c r="Q157" s="1">
        <f>C157/$C$434</f>
        <v>3.9497395640474957E-4</v>
      </c>
      <c r="R157" s="1">
        <f t="shared" si="33"/>
        <v>0</v>
      </c>
      <c r="S157" s="1">
        <f t="shared" si="37"/>
        <v>7.1285515462167764E-4</v>
      </c>
      <c r="T157" s="1">
        <f t="shared" si="38"/>
        <v>7.2280448138778463E-4</v>
      </c>
      <c r="U157" s="1">
        <f t="shared" si="39"/>
        <v>4.1472018304890834E-3</v>
      </c>
      <c r="V157" s="1">
        <f t="shared" si="40"/>
        <v>7.3645097579754296E-4</v>
      </c>
      <c r="W157" s="1">
        <f t="shared" si="41"/>
        <v>5.3741770791347577E-4</v>
      </c>
      <c r="X157" s="1">
        <f t="shared" si="42"/>
        <v>1.1219147344801795E-3</v>
      </c>
      <c r="Y157" s="1">
        <f t="shared" si="43"/>
        <v>3.3271056739948303E-3</v>
      </c>
      <c r="Z157" s="1">
        <f t="shared" si="34"/>
        <v>4.8213560698335363E-4</v>
      </c>
      <c r="AA157" s="1">
        <f t="shared" si="30"/>
        <v>2.803995693863756E-3</v>
      </c>
      <c r="AB157" s="1">
        <f t="shared" si="31"/>
        <v>0</v>
      </c>
      <c r="AC157" s="1">
        <f t="shared" si="32"/>
        <v>1.2378454115440937E-3</v>
      </c>
      <c r="AD157" s="1" t="str">
        <f t="shared" si="35"/>
        <v>DECLERCK AUTOMOBILES</v>
      </c>
      <c r="AE157" s="1" t="str">
        <f t="shared" si="36"/>
        <v>3200</v>
      </c>
      <c r="AF157" s="3">
        <f>Q157*Feuil2!$B$3</f>
        <v>13.972172109901503</v>
      </c>
      <c r="AG157" s="3">
        <f>R157*Feuil2!$C$3</f>
        <v>0</v>
      </c>
      <c r="AH157" s="3">
        <f>S157*Feuil2!$D$3</f>
        <v>28.013639295291764</v>
      </c>
      <c r="AI157" s="3">
        <f>T157*Feuil2!$E$2</f>
        <v>27.092880375858332</v>
      </c>
      <c r="AJ157" s="3">
        <f>U157*Feuil2!$F$3</f>
        <v>105.95437124606731</v>
      </c>
      <c r="AK157" s="3">
        <f>V157*Feuil2!$G$3</f>
        <v>29.669930706658189</v>
      </c>
      <c r="AL157" s="3">
        <f>W157*Feuil2!$H$3</f>
        <v>19.539153567110038</v>
      </c>
      <c r="AM157" s="3">
        <f>X157*Feuil2!$I$2</f>
        <v>23.966342557965593</v>
      </c>
      <c r="AN157" s="3">
        <f>Y157*Feuil2!$J$3</f>
        <v>140.57966370639573</v>
      </c>
      <c r="AO157" s="3">
        <f>Z157*Feuil2!$K$3</f>
        <v>19.424144336175395</v>
      </c>
      <c r="AP157" s="3">
        <f>AA157*Feuil2!$L$3</f>
        <v>101.94621735973764</v>
      </c>
      <c r="AQ157" s="3">
        <f>AB157*Feuil2!$M$3</f>
        <v>0</v>
      </c>
      <c r="AR157" s="3">
        <f>AC157*Feuil2!$N$3</f>
        <v>518.26913814354805</v>
      </c>
    </row>
    <row r="158" spans="1:44" x14ac:dyDescent="0.35">
      <c r="A158" t="s">
        <v>319</v>
      </c>
      <c r="B158" t="s">
        <v>320</v>
      </c>
      <c r="C158">
        <v>13</v>
      </c>
      <c r="D158">
        <v>17</v>
      </c>
      <c r="E158">
        <v>301</v>
      </c>
      <c r="F158">
        <v>0</v>
      </c>
      <c r="G158">
        <v>0</v>
      </c>
      <c r="H158">
        <v>34</v>
      </c>
      <c r="I158">
        <v>49</v>
      </c>
      <c r="J158">
        <v>0</v>
      </c>
      <c r="K158">
        <v>0</v>
      </c>
      <c r="L158">
        <v>56</v>
      </c>
      <c r="M158">
        <v>0</v>
      </c>
      <c r="N158">
        <v>0</v>
      </c>
      <c r="O158">
        <v>470</v>
      </c>
      <c r="Q158" s="1">
        <f>C158/$C$434</f>
        <v>3.2091633957885904E-4</v>
      </c>
      <c r="R158" s="1">
        <f t="shared" si="33"/>
        <v>7.1663434786274345E-4</v>
      </c>
      <c r="S158" s="1">
        <f t="shared" si="37"/>
        <v>1.0217590549577379E-2</v>
      </c>
      <c r="T158" s="1">
        <f t="shared" si="38"/>
        <v>0</v>
      </c>
      <c r="U158" s="1">
        <f t="shared" si="39"/>
        <v>0</v>
      </c>
      <c r="V158" s="1">
        <f t="shared" si="40"/>
        <v>1.1381515080507482E-3</v>
      </c>
      <c r="W158" s="1">
        <f t="shared" si="41"/>
        <v>1.0972278203233462E-3</v>
      </c>
      <c r="X158" s="1">
        <f t="shared" si="42"/>
        <v>0</v>
      </c>
      <c r="Y158" s="1">
        <f t="shared" si="43"/>
        <v>0</v>
      </c>
      <c r="Z158" s="1">
        <f t="shared" si="34"/>
        <v>1.4210312626877792E-3</v>
      </c>
      <c r="AA158" s="1">
        <f t="shared" si="30"/>
        <v>0</v>
      </c>
      <c r="AB158" s="1">
        <f t="shared" si="31"/>
        <v>0</v>
      </c>
      <c r="AC158" s="1">
        <f t="shared" si="32"/>
        <v>1.2378454115440937E-3</v>
      </c>
      <c r="AD158" s="1" t="str">
        <f t="shared" si="35"/>
        <v>PLANETE CARROSSERIE</v>
      </c>
      <c r="AE158" s="1" t="str">
        <f t="shared" si="36"/>
        <v>3458</v>
      </c>
      <c r="AF158" s="3">
        <f>Q158*Feuil2!$B$3</f>
        <v>11.352389839294972</v>
      </c>
      <c r="AG158" s="3">
        <f>R158*Feuil2!$C$3</f>
        <v>25.350882724896721</v>
      </c>
      <c r="AH158" s="3">
        <f>S158*Feuil2!$D$3</f>
        <v>401.52882989918197</v>
      </c>
      <c r="AI158" s="3">
        <f>T158*Feuil2!$E$2</f>
        <v>0</v>
      </c>
      <c r="AJ158" s="3">
        <f>U158*Feuil2!$F$3</f>
        <v>0</v>
      </c>
      <c r="AK158" s="3">
        <f>V158*Feuil2!$G$3</f>
        <v>45.853529273926291</v>
      </c>
      <c r="AL158" s="3">
        <f>W158*Feuil2!$H$3</f>
        <v>39.89243853284966</v>
      </c>
      <c r="AM158" s="3">
        <f>X158*Feuil2!$I$2</f>
        <v>0</v>
      </c>
      <c r="AN158" s="3">
        <f>Y158*Feuil2!$J$3</f>
        <v>0</v>
      </c>
      <c r="AO158" s="3">
        <f>Z158*Feuil2!$K$3</f>
        <v>57.250109622411699</v>
      </c>
      <c r="AP158" s="3">
        <f>AA158*Feuil2!$L$3</f>
        <v>0</v>
      </c>
      <c r="AQ158" s="3">
        <f>AB158*Feuil2!$M$3</f>
        <v>0</v>
      </c>
      <c r="AR158" s="3">
        <f>AC158*Feuil2!$N$3</f>
        <v>518.26913814354805</v>
      </c>
    </row>
    <row r="159" spans="1:44" x14ac:dyDescent="0.35">
      <c r="A159" t="s">
        <v>321</v>
      </c>
      <c r="B159" t="s">
        <v>322</v>
      </c>
      <c r="C159">
        <v>122</v>
      </c>
      <c r="D159">
        <v>0</v>
      </c>
      <c r="E159">
        <v>21</v>
      </c>
      <c r="F159">
        <v>22</v>
      </c>
      <c r="G159">
        <v>20</v>
      </c>
      <c r="H159">
        <v>34</v>
      </c>
      <c r="I159">
        <v>0</v>
      </c>
      <c r="J159">
        <v>45</v>
      </c>
      <c r="K159">
        <v>30</v>
      </c>
      <c r="L159">
        <v>19</v>
      </c>
      <c r="M159">
        <v>156</v>
      </c>
      <c r="N159">
        <v>0</v>
      </c>
      <c r="O159">
        <v>469</v>
      </c>
      <c r="Q159" s="1">
        <f>C159/$C$434</f>
        <v>3.0116764175862152E-3</v>
      </c>
      <c r="R159" s="1">
        <f t="shared" si="33"/>
        <v>0</v>
      </c>
      <c r="S159" s="1">
        <f t="shared" si="37"/>
        <v>7.1285515462167764E-4</v>
      </c>
      <c r="T159" s="1">
        <f t="shared" si="38"/>
        <v>8.83427699473959E-4</v>
      </c>
      <c r="U159" s="1">
        <f t="shared" si="39"/>
        <v>9.5337973114691576E-4</v>
      </c>
      <c r="V159" s="1">
        <f t="shared" si="40"/>
        <v>1.1381515080507482E-3</v>
      </c>
      <c r="W159" s="1">
        <f t="shared" si="41"/>
        <v>0</v>
      </c>
      <c r="X159" s="1">
        <f t="shared" si="42"/>
        <v>2.4041030024575276E-3</v>
      </c>
      <c r="Y159" s="1">
        <f t="shared" si="43"/>
        <v>7.6779361707573004E-4</v>
      </c>
      <c r="Z159" s="1">
        <f t="shared" si="34"/>
        <v>4.8213560698335363E-4</v>
      </c>
      <c r="AA159" s="1">
        <f t="shared" si="30"/>
        <v>3.9055654307388029E-3</v>
      </c>
      <c r="AB159" s="1">
        <f t="shared" si="31"/>
        <v>0</v>
      </c>
      <c r="AC159" s="1">
        <f t="shared" si="32"/>
        <v>1.2352116979025105E-3</v>
      </c>
      <c r="AD159" s="1" t="str">
        <f t="shared" si="35"/>
        <v>GUERARD MATTHIEU</v>
      </c>
      <c r="AE159" s="1" t="str">
        <f t="shared" si="36"/>
        <v>3675</v>
      </c>
      <c r="AF159" s="3">
        <f>Q159*Feuil2!$B$3</f>
        <v>106.53781233799896</v>
      </c>
      <c r="AG159" s="3">
        <f>R159*Feuil2!$C$3</f>
        <v>0</v>
      </c>
      <c r="AH159" s="3">
        <f>S159*Feuil2!$D$3</f>
        <v>28.013639295291764</v>
      </c>
      <c r="AI159" s="3">
        <f>T159*Feuil2!$E$2</f>
        <v>33.113520459382407</v>
      </c>
      <c r="AJ159" s="3">
        <f>U159*Feuil2!$F$3</f>
        <v>24.357326723233864</v>
      </c>
      <c r="AK159" s="3">
        <f>V159*Feuil2!$G$3</f>
        <v>45.853529273926291</v>
      </c>
      <c r="AL159" s="3">
        <f>W159*Feuil2!$H$3</f>
        <v>0</v>
      </c>
      <c r="AM159" s="3">
        <f>X159*Feuil2!$I$2</f>
        <v>51.356448338497707</v>
      </c>
      <c r="AN159" s="3">
        <f>Y159*Feuil2!$J$3</f>
        <v>32.441460855322092</v>
      </c>
      <c r="AO159" s="3">
        <f>Z159*Feuil2!$K$3</f>
        <v>19.424144336175395</v>
      </c>
      <c r="AP159" s="3">
        <f>AA159*Feuil2!$L$3</f>
        <v>141.99651703677742</v>
      </c>
      <c r="AQ159" s="3">
        <f>AB159*Feuil2!$M$3</f>
        <v>0</v>
      </c>
      <c r="AR159" s="3">
        <f>AC159*Feuil2!$N$3</f>
        <v>517.16643784962559</v>
      </c>
    </row>
    <row r="160" spans="1:44" x14ac:dyDescent="0.35">
      <c r="A160" t="s">
        <v>323</v>
      </c>
      <c r="B160" t="s">
        <v>324</v>
      </c>
      <c r="C160">
        <v>30</v>
      </c>
      <c r="D160">
        <v>0</v>
      </c>
      <c r="E160">
        <v>0</v>
      </c>
      <c r="F160">
        <v>118</v>
      </c>
      <c r="G160">
        <v>0</v>
      </c>
      <c r="H160">
        <v>47</v>
      </c>
      <c r="I160">
        <v>0</v>
      </c>
      <c r="J160">
        <v>0</v>
      </c>
      <c r="K160">
        <v>219</v>
      </c>
      <c r="L160">
        <v>23</v>
      </c>
      <c r="M160">
        <v>22</v>
      </c>
      <c r="N160">
        <v>0</v>
      </c>
      <c r="O160">
        <v>459</v>
      </c>
      <c r="Q160" s="1">
        <f>C160/$C$434</f>
        <v>7.4057616825890546E-4</v>
      </c>
      <c r="R160" s="1">
        <f t="shared" si="33"/>
        <v>0</v>
      </c>
      <c r="S160" s="1">
        <f t="shared" si="37"/>
        <v>0</v>
      </c>
      <c r="T160" s="1">
        <f t="shared" si="38"/>
        <v>4.7383849335421438E-3</v>
      </c>
      <c r="U160" s="1">
        <f t="shared" si="39"/>
        <v>0</v>
      </c>
      <c r="V160" s="1">
        <f t="shared" si="40"/>
        <v>1.5733270846583871E-3</v>
      </c>
      <c r="W160" s="1">
        <f t="shared" si="41"/>
        <v>0</v>
      </c>
      <c r="X160" s="1">
        <f t="shared" si="42"/>
        <v>0</v>
      </c>
      <c r="Y160" s="1">
        <f t="shared" si="43"/>
        <v>5.6048934046528292E-3</v>
      </c>
      <c r="Z160" s="1">
        <f t="shared" si="34"/>
        <v>5.8363784003248066E-4</v>
      </c>
      <c r="AA160" s="1">
        <f t="shared" si="30"/>
        <v>5.5078486843752352E-4</v>
      </c>
      <c r="AB160" s="1">
        <f t="shared" si="31"/>
        <v>0</v>
      </c>
      <c r="AC160" s="1">
        <f t="shared" si="32"/>
        <v>1.2088745614866787E-3</v>
      </c>
      <c r="AD160" s="1" t="str">
        <f t="shared" si="35"/>
        <v>DE  LA ZONE</v>
      </c>
      <c r="AE160" s="1" t="str">
        <f t="shared" si="36"/>
        <v>5168</v>
      </c>
      <c r="AF160" s="3">
        <f>Q160*Feuil2!$B$3</f>
        <v>26.197822706065317</v>
      </c>
      <c r="AG160" s="3">
        <f>R160*Feuil2!$C$3</f>
        <v>0</v>
      </c>
      <c r="AH160" s="3">
        <f>S160*Feuil2!$D$3</f>
        <v>0</v>
      </c>
      <c r="AI160" s="3">
        <f>T160*Feuil2!$E$2</f>
        <v>177.60888246396019</v>
      </c>
      <c r="AJ160" s="3">
        <f>U160*Feuil2!$F$3</f>
        <v>0</v>
      </c>
      <c r="AK160" s="3">
        <f>V160*Feuil2!$G$3</f>
        <v>63.385761055133393</v>
      </c>
      <c r="AL160" s="3">
        <f>W160*Feuil2!$H$3</f>
        <v>0</v>
      </c>
      <c r="AM160" s="3">
        <f>X160*Feuil2!$I$2</f>
        <v>0</v>
      </c>
      <c r="AN160" s="3">
        <f>Y160*Feuil2!$J$3</f>
        <v>236.82266424385128</v>
      </c>
      <c r="AO160" s="3">
        <f>Z160*Feuil2!$K$3</f>
        <v>23.513437880633372</v>
      </c>
      <c r="AP160" s="3">
        <f>AA160*Feuil2!$L$3</f>
        <v>20.025149838519894</v>
      </c>
      <c r="AQ160" s="3">
        <f>AB160*Feuil2!$M$3</f>
        <v>0</v>
      </c>
      <c r="AR160" s="3">
        <f>AC160*Feuil2!$N$3</f>
        <v>506.13943491040112</v>
      </c>
    </row>
    <row r="161" spans="1:44" x14ac:dyDescent="0.35">
      <c r="A161" t="s">
        <v>325</v>
      </c>
      <c r="B161" t="s">
        <v>326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418</v>
      </c>
      <c r="M161">
        <v>23</v>
      </c>
      <c r="N161">
        <v>0</v>
      </c>
      <c r="O161">
        <v>441</v>
      </c>
      <c r="Q161" s="1">
        <f>C161/$C$434</f>
        <v>0</v>
      </c>
      <c r="R161" s="1">
        <f t="shared" si="33"/>
        <v>0</v>
      </c>
      <c r="S161" s="1">
        <f t="shared" si="37"/>
        <v>0</v>
      </c>
      <c r="T161" s="1">
        <f t="shared" si="38"/>
        <v>0</v>
      </c>
      <c r="U161" s="1">
        <f t="shared" si="39"/>
        <v>0</v>
      </c>
      <c r="V161" s="1">
        <f t="shared" si="40"/>
        <v>0</v>
      </c>
      <c r="W161" s="1">
        <f t="shared" si="41"/>
        <v>0</v>
      </c>
      <c r="X161" s="1">
        <f t="shared" si="42"/>
        <v>0</v>
      </c>
      <c r="Y161" s="1">
        <f t="shared" si="43"/>
        <v>0</v>
      </c>
      <c r="Z161" s="1">
        <f t="shared" si="34"/>
        <v>1.0606983353633781E-2</v>
      </c>
      <c r="AA161" s="1">
        <f t="shared" si="30"/>
        <v>5.7582054427559269E-4</v>
      </c>
      <c r="AB161" s="1">
        <f t="shared" si="31"/>
        <v>0</v>
      </c>
      <c r="AC161" s="1">
        <f t="shared" si="32"/>
        <v>1.1614677159381816E-3</v>
      </c>
      <c r="AD161" s="1" t="str">
        <f t="shared" si="35"/>
        <v>EURL JA CARROSSERIE</v>
      </c>
      <c r="AE161" s="1" t="str">
        <f t="shared" si="36"/>
        <v>6202</v>
      </c>
      <c r="AF161" s="3">
        <f>Q161*Feuil2!$B$3</f>
        <v>0</v>
      </c>
      <c r="AG161" s="3">
        <f>R161*Feuil2!$C$3</f>
        <v>0</v>
      </c>
      <c r="AH161" s="3">
        <f>S161*Feuil2!$D$3</f>
        <v>0</v>
      </c>
      <c r="AI161" s="3">
        <f>T161*Feuil2!$E$2</f>
        <v>0</v>
      </c>
      <c r="AJ161" s="3">
        <f>U161*Feuil2!$F$3</f>
        <v>0</v>
      </c>
      <c r="AK161" s="3">
        <f>V161*Feuil2!$G$3</f>
        <v>0</v>
      </c>
      <c r="AL161" s="3">
        <f>W161*Feuil2!$H$3</f>
        <v>0</v>
      </c>
      <c r="AM161" s="3">
        <f>X161*Feuil2!$I$2</f>
        <v>0</v>
      </c>
      <c r="AN161" s="3">
        <f>Y161*Feuil2!$J$3</f>
        <v>0</v>
      </c>
      <c r="AO161" s="3">
        <f>Z161*Feuil2!$K$3</f>
        <v>427.33117539585874</v>
      </c>
      <c r="AP161" s="3">
        <f>AA161*Feuil2!$L$3</f>
        <v>20.935383922088977</v>
      </c>
      <c r="AQ161" s="3">
        <f>AB161*Feuil2!$M$3</f>
        <v>0</v>
      </c>
      <c r="AR161" s="3">
        <f>AC161*Feuil2!$N$3</f>
        <v>486.29082961979719</v>
      </c>
    </row>
    <row r="162" spans="1:44" x14ac:dyDescent="0.35">
      <c r="A162" t="s">
        <v>327</v>
      </c>
      <c r="B162" t="s">
        <v>328</v>
      </c>
      <c r="C162">
        <v>0</v>
      </c>
      <c r="D162">
        <v>112</v>
      </c>
      <c r="E162">
        <v>0</v>
      </c>
      <c r="F162">
        <v>0</v>
      </c>
      <c r="G162">
        <v>0</v>
      </c>
      <c r="H162">
        <v>121</v>
      </c>
      <c r="I162">
        <v>71</v>
      </c>
      <c r="J162">
        <v>0</v>
      </c>
      <c r="K162">
        <v>137</v>
      </c>
      <c r="L162">
        <v>0</v>
      </c>
      <c r="M162">
        <v>0</v>
      </c>
      <c r="N162">
        <v>0</v>
      </c>
      <c r="O162">
        <v>441</v>
      </c>
      <c r="Q162" s="1">
        <f>C162/$C$434</f>
        <v>0</v>
      </c>
      <c r="R162" s="1">
        <f t="shared" si="33"/>
        <v>4.7213557035663094E-3</v>
      </c>
      <c r="S162" s="1">
        <f t="shared" si="37"/>
        <v>0</v>
      </c>
      <c r="T162" s="1">
        <f t="shared" si="38"/>
        <v>0</v>
      </c>
      <c r="U162" s="1">
        <f t="shared" si="39"/>
        <v>0</v>
      </c>
      <c r="V162" s="1">
        <f t="shared" si="40"/>
        <v>4.050480366886486E-3</v>
      </c>
      <c r="W162" s="1">
        <f t="shared" si="41"/>
        <v>1.5898607192440324E-3</v>
      </c>
      <c r="X162" s="1">
        <f t="shared" si="42"/>
        <v>0</v>
      </c>
      <c r="Y162" s="1">
        <f t="shared" si="43"/>
        <v>3.5062575179791674E-3</v>
      </c>
      <c r="Z162" s="1">
        <f t="shared" si="34"/>
        <v>0</v>
      </c>
      <c r="AA162" s="1">
        <f t="shared" si="30"/>
        <v>0</v>
      </c>
      <c r="AB162" s="1">
        <f t="shared" si="31"/>
        <v>0</v>
      </c>
      <c r="AC162" s="1">
        <f t="shared" si="32"/>
        <v>1.1614677159381816E-3</v>
      </c>
      <c r="AD162" s="1" t="str">
        <f t="shared" si="35"/>
        <v>MOLIN ET BOURDON AUTOMOBILES</v>
      </c>
      <c r="AE162" s="1" t="str">
        <f t="shared" si="36"/>
        <v>3717</v>
      </c>
      <c r="AF162" s="3">
        <f>Q162*Feuil2!$B$3</f>
        <v>0</v>
      </c>
      <c r="AG162" s="3">
        <f>R162*Feuil2!$C$3</f>
        <v>167.0175803052019</v>
      </c>
      <c r="AH162" s="3">
        <f>S162*Feuil2!$D$3</f>
        <v>0</v>
      </c>
      <c r="AI162" s="3">
        <f>T162*Feuil2!$E$2</f>
        <v>0</v>
      </c>
      <c r="AJ162" s="3">
        <f>U162*Feuil2!$F$3</f>
        <v>0</v>
      </c>
      <c r="AK162" s="3">
        <f>V162*Feuil2!$G$3</f>
        <v>163.18461888662003</v>
      </c>
      <c r="AL162" s="3">
        <f>W162*Feuil2!$H$3</f>
        <v>57.803329302700526</v>
      </c>
      <c r="AM162" s="3">
        <f>X162*Feuil2!$I$2</f>
        <v>0</v>
      </c>
      <c r="AN162" s="3">
        <f>Y162*Feuil2!$J$3</f>
        <v>148.1493379059709</v>
      </c>
      <c r="AO162" s="3">
        <f>Z162*Feuil2!$K$3</f>
        <v>0</v>
      </c>
      <c r="AP162" s="3">
        <f>AA162*Feuil2!$L$3</f>
        <v>0</v>
      </c>
      <c r="AQ162" s="3">
        <f>AB162*Feuil2!$M$3</f>
        <v>0</v>
      </c>
      <c r="AR162" s="3">
        <f>AC162*Feuil2!$N$3</f>
        <v>486.29082961979719</v>
      </c>
    </row>
    <row r="163" spans="1:44" x14ac:dyDescent="0.35">
      <c r="A163" t="s">
        <v>329</v>
      </c>
      <c r="B163" t="s">
        <v>330</v>
      </c>
      <c r="C163">
        <v>72</v>
      </c>
      <c r="D163">
        <v>36</v>
      </c>
      <c r="E163">
        <v>8</v>
      </c>
      <c r="F163">
        <v>76</v>
      </c>
      <c r="G163">
        <v>11</v>
      </c>
      <c r="H163">
        <v>0</v>
      </c>
      <c r="I163">
        <v>52</v>
      </c>
      <c r="J163">
        <v>0</v>
      </c>
      <c r="K163">
        <v>112</v>
      </c>
      <c r="L163">
        <v>33</v>
      </c>
      <c r="M163">
        <v>35</v>
      </c>
      <c r="N163">
        <v>0</v>
      </c>
      <c r="O163">
        <v>435</v>
      </c>
      <c r="Q163" s="1">
        <f>C163/$C$434</f>
        <v>1.7773828038213731E-3</v>
      </c>
      <c r="R163" s="1">
        <f t="shared" si="33"/>
        <v>1.5175786190034567E-3</v>
      </c>
      <c r="S163" s="1">
        <f t="shared" si="37"/>
        <v>2.7156386842730576E-4</v>
      </c>
      <c r="T163" s="1">
        <f t="shared" si="38"/>
        <v>3.0518411436373126E-3</v>
      </c>
      <c r="U163" s="1">
        <f t="shared" si="39"/>
        <v>5.2435885213080369E-4</v>
      </c>
      <c r="V163" s="1">
        <f t="shared" si="40"/>
        <v>0</v>
      </c>
      <c r="W163" s="1">
        <f t="shared" si="41"/>
        <v>1.1644050338125308E-3</v>
      </c>
      <c r="X163" s="1">
        <f t="shared" si="42"/>
        <v>0</v>
      </c>
      <c r="Y163" s="1">
        <f t="shared" si="43"/>
        <v>2.8664295037493922E-3</v>
      </c>
      <c r="Z163" s="1">
        <f t="shared" si="34"/>
        <v>8.3739342265529843E-4</v>
      </c>
      <c r="AA163" s="1">
        <f t="shared" si="30"/>
        <v>8.7624865433242368E-4</v>
      </c>
      <c r="AB163" s="1">
        <f t="shared" si="31"/>
        <v>0</v>
      </c>
      <c r="AC163" s="1">
        <f t="shared" si="32"/>
        <v>1.1456654340886825E-3</v>
      </c>
      <c r="AD163" s="1" t="str">
        <f t="shared" si="35"/>
        <v>CAR S 2J</v>
      </c>
      <c r="AE163" s="1" t="str">
        <f t="shared" si="36"/>
        <v>3425</v>
      </c>
      <c r="AF163" s="3">
        <f>Q163*Feuil2!$B$3</f>
        <v>62.87477449455676</v>
      </c>
      <c r="AG163" s="3">
        <f>R163*Feuil2!$C$3</f>
        <v>53.684222240957759</v>
      </c>
      <c r="AH163" s="3">
        <f>S163*Feuil2!$D$3</f>
        <v>10.671862588682577</v>
      </c>
      <c r="AI163" s="3">
        <f>T163*Feuil2!$E$2</f>
        <v>114.39216158695739</v>
      </c>
      <c r="AJ163" s="3">
        <f>U163*Feuil2!$F$3</f>
        <v>13.396529697778625</v>
      </c>
      <c r="AK163" s="3">
        <f>V163*Feuil2!$G$3</f>
        <v>0</v>
      </c>
      <c r="AL163" s="3">
        <f>W163*Feuil2!$H$3</f>
        <v>42.334832728738412</v>
      </c>
      <c r="AM163" s="3">
        <f>X163*Feuil2!$I$2</f>
        <v>0</v>
      </c>
      <c r="AN163" s="3">
        <f>Y163*Feuil2!$J$3</f>
        <v>121.11478719320247</v>
      </c>
      <c r="AO163" s="3">
        <f>Z163*Feuil2!$K$3</f>
        <v>33.736671741778324</v>
      </c>
      <c r="AP163" s="3">
        <f>AA163*Feuil2!$L$3</f>
        <v>31.858192924918011</v>
      </c>
      <c r="AQ163" s="3">
        <f>AB163*Feuil2!$M$3</f>
        <v>0</v>
      </c>
      <c r="AR163" s="3">
        <f>AC163*Feuil2!$N$3</f>
        <v>479.67462785626253</v>
      </c>
    </row>
    <row r="164" spans="1:44" x14ac:dyDescent="0.35">
      <c r="A164" t="s">
        <v>331</v>
      </c>
      <c r="B164" t="s">
        <v>332</v>
      </c>
      <c r="C164">
        <v>0</v>
      </c>
      <c r="D164">
        <v>375</v>
      </c>
      <c r="E164">
        <v>0</v>
      </c>
      <c r="F164">
        <v>56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431</v>
      </c>
      <c r="Q164" s="1">
        <f>C164/$C$434</f>
        <v>0</v>
      </c>
      <c r="R164" s="1">
        <f t="shared" si="33"/>
        <v>1.5808110614619342E-2</v>
      </c>
      <c r="S164" s="1">
        <f t="shared" si="37"/>
        <v>0</v>
      </c>
      <c r="T164" s="1">
        <f t="shared" si="38"/>
        <v>2.248725053206441E-3</v>
      </c>
      <c r="U164" s="1">
        <f t="shared" si="39"/>
        <v>0</v>
      </c>
      <c r="V164" s="1">
        <f t="shared" si="40"/>
        <v>0</v>
      </c>
      <c r="W164" s="1">
        <f t="shared" si="41"/>
        <v>0</v>
      </c>
      <c r="X164" s="1">
        <f t="shared" si="42"/>
        <v>0</v>
      </c>
      <c r="Y164" s="1">
        <f t="shared" si="43"/>
        <v>0</v>
      </c>
      <c r="Z164" s="1">
        <f t="shared" si="34"/>
        <v>0</v>
      </c>
      <c r="AA164" s="1">
        <f t="shared" si="30"/>
        <v>0</v>
      </c>
      <c r="AB164" s="1">
        <f t="shared" si="31"/>
        <v>0</v>
      </c>
      <c r="AC164" s="1">
        <f t="shared" si="32"/>
        <v>1.1351305795223496E-3</v>
      </c>
      <c r="AD164" s="1" t="str">
        <f t="shared" si="35"/>
        <v>LEBISEY AUTOMOBILE</v>
      </c>
      <c r="AE164" s="1" t="str">
        <f t="shared" si="36"/>
        <v>3302</v>
      </c>
      <c r="AF164" s="3">
        <f>Q164*Feuil2!$B$3</f>
        <v>0</v>
      </c>
      <c r="AG164" s="3">
        <f>R164*Feuil2!$C$3</f>
        <v>559.21064834331003</v>
      </c>
      <c r="AH164" s="3">
        <f>S164*Feuil2!$D$3</f>
        <v>0</v>
      </c>
      <c r="AI164" s="3">
        <f>T164*Feuil2!$E$2</f>
        <v>84.288961169337028</v>
      </c>
      <c r="AJ164" s="3">
        <f>U164*Feuil2!$F$3</f>
        <v>0</v>
      </c>
      <c r="AK164" s="3">
        <f>V164*Feuil2!$G$3</f>
        <v>0</v>
      </c>
      <c r="AL164" s="3">
        <f>W164*Feuil2!$H$3</f>
        <v>0</v>
      </c>
      <c r="AM164" s="3">
        <f>X164*Feuil2!$I$2</f>
        <v>0</v>
      </c>
      <c r="AN164" s="3">
        <f>Y164*Feuil2!$J$3</f>
        <v>0</v>
      </c>
      <c r="AO164" s="3">
        <f>Z164*Feuil2!$K$3</f>
        <v>0</v>
      </c>
      <c r="AP164" s="3">
        <f>AA164*Feuil2!$L$3</f>
        <v>0</v>
      </c>
      <c r="AQ164" s="3">
        <f>AB164*Feuil2!$M$3</f>
        <v>0</v>
      </c>
      <c r="AR164" s="3">
        <f>AC164*Feuil2!$N$3</f>
        <v>475.26382668057272</v>
      </c>
    </row>
    <row r="165" spans="1:44" x14ac:dyDescent="0.35">
      <c r="A165" t="s">
        <v>333</v>
      </c>
      <c r="B165" t="s">
        <v>334</v>
      </c>
      <c r="C165">
        <v>0</v>
      </c>
      <c r="D165">
        <v>0</v>
      </c>
      <c r="E165">
        <v>0</v>
      </c>
      <c r="F165">
        <v>91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159</v>
      </c>
      <c r="M165">
        <v>172</v>
      </c>
      <c r="N165">
        <v>0</v>
      </c>
      <c r="O165">
        <v>422</v>
      </c>
      <c r="Q165" s="1">
        <f>C165/$C$434</f>
        <v>0</v>
      </c>
      <c r="R165" s="1">
        <f t="shared" si="33"/>
        <v>0</v>
      </c>
      <c r="S165" s="1">
        <f t="shared" si="37"/>
        <v>0</v>
      </c>
      <c r="T165" s="1">
        <f t="shared" si="38"/>
        <v>3.6541782114604664E-3</v>
      </c>
      <c r="U165" s="1">
        <f t="shared" si="39"/>
        <v>0</v>
      </c>
      <c r="V165" s="1">
        <f t="shared" si="40"/>
        <v>0</v>
      </c>
      <c r="W165" s="1">
        <f t="shared" si="41"/>
        <v>0</v>
      </c>
      <c r="X165" s="1">
        <f t="shared" si="42"/>
        <v>0</v>
      </c>
      <c r="Y165" s="1">
        <f t="shared" si="43"/>
        <v>0</v>
      </c>
      <c r="Z165" s="1">
        <f t="shared" si="34"/>
        <v>4.0347137637028012E-3</v>
      </c>
      <c r="AA165" s="1">
        <f t="shared" si="30"/>
        <v>4.3061362441479106E-3</v>
      </c>
      <c r="AB165" s="1">
        <f t="shared" si="31"/>
        <v>0</v>
      </c>
      <c r="AC165" s="1">
        <f t="shared" si="32"/>
        <v>1.1114271567481012E-3</v>
      </c>
      <c r="AD165" s="1" t="str">
        <f t="shared" si="35"/>
        <v>DES HAUTS VENTS</v>
      </c>
      <c r="AE165" s="1" t="str">
        <f t="shared" si="36"/>
        <v>3760</v>
      </c>
      <c r="AF165" s="3">
        <f>Q165*Feuil2!$B$3</f>
        <v>0</v>
      </c>
      <c r="AG165" s="3">
        <f>R165*Feuil2!$C$3</f>
        <v>0</v>
      </c>
      <c r="AH165" s="3">
        <f>S165*Feuil2!$D$3</f>
        <v>0</v>
      </c>
      <c r="AI165" s="3">
        <f>T165*Feuil2!$E$2</f>
        <v>136.96956190017266</v>
      </c>
      <c r="AJ165" s="3">
        <f>U165*Feuil2!$F$3</f>
        <v>0</v>
      </c>
      <c r="AK165" s="3">
        <f>V165*Feuil2!$G$3</f>
        <v>0</v>
      </c>
      <c r="AL165" s="3">
        <f>W165*Feuil2!$H$3</f>
        <v>0</v>
      </c>
      <c r="AM165" s="3">
        <f>X165*Feuil2!$I$2</f>
        <v>0</v>
      </c>
      <c r="AN165" s="3">
        <f>Y165*Feuil2!$J$3</f>
        <v>0</v>
      </c>
      <c r="AO165" s="3">
        <f>Z165*Feuil2!$K$3</f>
        <v>162.54941839220461</v>
      </c>
      <c r="AP165" s="3">
        <f>AA165*Feuil2!$L$3</f>
        <v>156.56026237388278</v>
      </c>
      <c r="AQ165" s="3">
        <f>AB165*Feuil2!$M$3</f>
        <v>0</v>
      </c>
      <c r="AR165" s="3">
        <f>AC165*Feuil2!$N$3</f>
        <v>465.33952403527076</v>
      </c>
    </row>
    <row r="166" spans="1:44" x14ac:dyDescent="0.35">
      <c r="A166" t="s">
        <v>335</v>
      </c>
      <c r="B166" t="s">
        <v>336</v>
      </c>
      <c r="C166">
        <v>64</v>
      </c>
      <c r="D166">
        <v>0</v>
      </c>
      <c r="E166">
        <v>114</v>
      </c>
      <c r="F166">
        <v>0</v>
      </c>
      <c r="G166">
        <v>0</v>
      </c>
      <c r="H166">
        <v>175</v>
      </c>
      <c r="I166">
        <v>66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419</v>
      </c>
      <c r="Q166" s="1">
        <f>C166/$C$434</f>
        <v>1.5798958256189983E-3</v>
      </c>
      <c r="R166" s="1">
        <f t="shared" si="33"/>
        <v>0</v>
      </c>
      <c r="S166" s="1">
        <f t="shared" si="37"/>
        <v>3.8697851250891068E-3</v>
      </c>
      <c r="T166" s="1">
        <f t="shared" si="38"/>
        <v>0</v>
      </c>
      <c r="U166" s="1">
        <f t="shared" si="39"/>
        <v>0</v>
      </c>
      <c r="V166" s="1">
        <f t="shared" si="40"/>
        <v>5.8581327620259097E-3</v>
      </c>
      <c r="W166" s="1">
        <f t="shared" si="41"/>
        <v>1.4778986967620583E-3</v>
      </c>
      <c r="X166" s="1">
        <f t="shared" si="42"/>
        <v>0</v>
      </c>
      <c r="Y166" s="1">
        <f t="shared" si="43"/>
        <v>0</v>
      </c>
      <c r="Z166" s="1">
        <f t="shared" si="34"/>
        <v>0</v>
      </c>
      <c r="AA166" s="1">
        <f t="shared" si="30"/>
        <v>0</v>
      </c>
      <c r="AB166" s="1">
        <f t="shared" si="31"/>
        <v>0</v>
      </c>
      <c r="AC166" s="1">
        <f t="shared" si="32"/>
        <v>1.1035260158233516E-3</v>
      </c>
      <c r="AD166" s="1" t="str">
        <f t="shared" si="35"/>
        <v>BLIAUX</v>
      </c>
      <c r="AE166" s="1" t="str">
        <f t="shared" si="36"/>
        <v>5187</v>
      </c>
      <c r="AF166" s="3">
        <f>Q166*Feuil2!$B$3</f>
        <v>55.888688439606014</v>
      </c>
      <c r="AG166" s="3">
        <f>R166*Feuil2!$C$3</f>
        <v>0</v>
      </c>
      <c r="AH166" s="3">
        <f>S166*Feuil2!$D$3</f>
        <v>152.0740418887267</v>
      </c>
      <c r="AI166" s="3">
        <f>T166*Feuil2!$E$2</f>
        <v>0</v>
      </c>
      <c r="AJ166" s="3">
        <f>U166*Feuil2!$F$3</f>
        <v>0</v>
      </c>
      <c r="AK166" s="3">
        <f>V166*Feuil2!$G$3</f>
        <v>236.01081243932649</v>
      </c>
      <c r="AL166" s="3">
        <f>W166*Feuil2!$H$3</f>
        <v>53.732672309552605</v>
      </c>
      <c r="AM166" s="3">
        <f>X166*Feuil2!$I$2</f>
        <v>0</v>
      </c>
      <c r="AN166" s="3">
        <f>Y166*Feuil2!$J$3</f>
        <v>0</v>
      </c>
      <c r="AO166" s="3">
        <f>Z166*Feuil2!$K$3</f>
        <v>0</v>
      </c>
      <c r="AP166" s="3">
        <f>AA166*Feuil2!$L$3</f>
        <v>0</v>
      </c>
      <c r="AQ166" s="3">
        <f>AB166*Feuil2!$M$3</f>
        <v>0</v>
      </c>
      <c r="AR166" s="3">
        <f>AC166*Feuil2!$N$3</f>
        <v>462.03142315350345</v>
      </c>
    </row>
    <row r="167" spans="1:44" x14ac:dyDescent="0.35">
      <c r="A167" t="s">
        <v>337</v>
      </c>
      <c r="B167" t="s">
        <v>338</v>
      </c>
      <c r="C167">
        <v>25</v>
      </c>
      <c r="D167">
        <v>41</v>
      </c>
      <c r="E167">
        <v>-1</v>
      </c>
      <c r="F167">
        <v>15</v>
      </c>
      <c r="G167">
        <v>0</v>
      </c>
      <c r="H167">
        <v>125</v>
      </c>
      <c r="I167">
        <v>0</v>
      </c>
      <c r="J167">
        <v>0</v>
      </c>
      <c r="K167">
        <v>213</v>
      </c>
      <c r="L167">
        <v>0</v>
      </c>
      <c r="M167">
        <v>0</v>
      </c>
      <c r="N167">
        <v>0</v>
      </c>
      <c r="O167">
        <v>418</v>
      </c>
      <c r="Q167" s="1">
        <f>C167/$C$434</f>
        <v>6.1714680688242118E-4</v>
      </c>
      <c r="R167" s="1">
        <f t="shared" si="33"/>
        <v>1.7283534271983812E-3</v>
      </c>
      <c r="S167" s="1">
        <f t="shared" si="37"/>
        <v>-3.394548355341322E-5</v>
      </c>
      <c r="T167" s="1">
        <f t="shared" si="38"/>
        <v>6.0233706782315388E-4</v>
      </c>
      <c r="U167" s="1">
        <f t="shared" si="39"/>
        <v>0</v>
      </c>
      <c r="V167" s="1">
        <f t="shared" si="40"/>
        <v>4.1843805443042212E-3</v>
      </c>
      <c r="W167" s="1">
        <f t="shared" si="41"/>
        <v>0</v>
      </c>
      <c r="X167" s="1">
        <f t="shared" si="42"/>
        <v>0</v>
      </c>
      <c r="Y167" s="1">
        <f t="shared" si="43"/>
        <v>5.451334681237683E-3</v>
      </c>
      <c r="Z167" s="1">
        <f t="shared" si="34"/>
        <v>0</v>
      </c>
      <c r="AA167" s="1">
        <f t="shared" si="30"/>
        <v>0</v>
      </c>
      <c r="AB167" s="1">
        <f t="shared" si="31"/>
        <v>0</v>
      </c>
      <c r="AC167" s="1">
        <f t="shared" si="32"/>
        <v>1.1008923021817683E-3</v>
      </c>
      <c r="AD167" s="1" t="str">
        <f t="shared" si="35"/>
        <v>MEZIDON CARROSSERIE</v>
      </c>
      <c r="AE167" s="1" t="str">
        <f t="shared" si="36"/>
        <v>3443</v>
      </c>
      <c r="AF167" s="3">
        <f>Q167*Feuil2!$B$3</f>
        <v>21.831518921721099</v>
      </c>
      <c r="AG167" s="3">
        <f>R167*Feuil2!$C$3</f>
        <v>61.140364218868555</v>
      </c>
      <c r="AH167" s="3">
        <f>S167*Feuil2!$D$3</f>
        <v>-1.3339828235853222</v>
      </c>
      <c r="AI167" s="3">
        <f>T167*Feuil2!$E$2</f>
        <v>22.577400313215275</v>
      </c>
      <c r="AJ167" s="3">
        <f>U167*Feuil2!$F$3</f>
        <v>0</v>
      </c>
      <c r="AK167" s="3">
        <f>V167*Feuil2!$G$3</f>
        <v>168.57915174237607</v>
      </c>
      <c r="AL167" s="3">
        <f>W167*Feuil2!$H$3</f>
        <v>0</v>
      </c>
      <c r="AM167" s="3">
        <f>X167*Feuil2!$I$2</f>
        <v>0</v>
      </c>
      <c r="AN167" s="3">
        <f>Y167*Feuil2!$J$3</f>
        <v>230.33437207278683</v>
      </c>
      <c r="AO167" s="3">
        <f>Z167*Feuil2!$K$3</f>
        <v>0</v>
      </c>
      <c r="AP167" s="3">
        <f>AA167*Feuil2!$L$3</f>
        <v>0</v>
      </c>
      <c r="AQ167" s="3">
        <f>AB167*Feuil2!$M$3</f>
        <v>0</v>
      </c>
      <c r="AR167" s="3">
        <f>AC167*Feuil2!$N$3</f>
        <v>460.92872285958094</v>
      </c>
    </row>
    <row r="168" spans="1:44" x14ac:dyDescent="0.35">
      <c r="A168" t="s">
        <v>339</v>
      </c>
      <c r="B168" t="s">
        <v>340</v>
      </c>
      <c r="C168">
        <v>0</v>
      </c>
      <c r="D168">
        <v>20</v>
      </c>
      <c r="E168">
        <v>21</v>
      </c>
      <c r="F168">
        <v>71</v>
      </c>
      <c r="G168">
        <v>0</v>
      </c>
      <c r="H168">
        <v>88</v>
      </c>
      <c r="I168">
        <v>0</v>
      </c>
      <c r="J168">
        <v>0</v>
      </c>
      <c r="K168">
        <v>0</v>
      </c>
      <c r="L168">
        <v>197</v>
      </c>
      <c r="M168">
        <v>0</v>
      </c>
      <c r="N168">
        <v>0</v>
      </c>
      <c r="O168">
        <v>397</v>
      </c>
      <c r="Q168" s="1">
        <f>C168/$C$434</f>
        <v>0</v>
      </c>
      <c r="R168" s="1">
        <f t="shared" si="33"/>
        <v>8.4309923277969812E-4</v>
      </c>
      <c r="S168" s="1">
        <f t="shared" si="37"/>
        <v>7.1285515462167764E-4</v>
      </c>
      <c r="T168" s="1">
        <f t="shared" si="38"/>
        <v>2.8510621210295949E-3</v>
      </c>
      <c r="U168" s="1">
        <f t="shared" si="39"/>
        <v>0</v>
      </c>
      <c r="V168" s="1">
        <f t="shared" si="40"/>
        <v>2.9458039031901718E-3</v>
      </c>
      <c r="W168" s="1">
        <f t="shared" si="41"/>
        <v>0</v>
      </c>
      <c r="X168" s="1">
        <f t="shared" si="42"/>
        <v>0</v>
      </c>
      <c r="Y168" s="1">
        <f t="shared" si="43"/>
        <v>0</v>
      </c>
      <c r="Z168" s="1">
        <f t="shared" si="34"/>
        <v>4.9989849776695084E-3</v>
      </c>
      <c r="AA168" s="1">
        <f t="shared" si="30"/>
        <v>0</v>
      </c>
      <c r="AB168" s="1">
        <f t="shared" si="31"/>
        <v>0</v>
      </c>
      <c r="AC168" s="1">
        <f t="shared" si="32"/>
        <v>1.0455843157085216E-3</v>
      </c>
      <c r="AD168" s="1" t="str">
        <f t="shared" si="35"/>
        <v>MICHEL SARL</v>
      </c>
      <c r="AE168" s="1" t="str">
        <f t="shared" si="36"/>
        <v>3267</v>
      </c>
      <c r="AF168" s="3">
        <f>Q168*Feuil2!$B$3</f>
        <v>0</v>
      </c>
      <c r="AG168" s="3">
        <f>R168*Feuil2!$C$3</f>
        <v>29.824567911643197</v>
      </c>
      <c r="AH168" s="3">
        <f>S168*Feuil2!$D$3</f>
        <v>28.013639295291764</v>
      </c>
      <c r="AI168" s="3">
        <f>T168*Feuil2!$E$2</f>
        <v>106.86636148255231</v>
      </c>
      <c r="AJ168" s="3">
        <f>U168*Feuil2!$F$3</f>
        <v>0</v>
      </c>
      <c r="AK168" s="3">
        <f>V168*Feuil2!$G$3</f>
        <v>118.67972282663276</v>
      </c>
      <c r="AL168" s="3">
        <f>W168*Feuil2!$H$3</f>
        <v>0</v>
      </c>
      <c r="AM168" s="3">
        <f>X168*Feuil2!$I$2</f>
        <v>0</v>
      </c>
      <c r="AN168" s="3">
        <f>Y168*Feuil2!$J$3</f>
        <v>0</v>
      </c>
      <c r="AO168" s="3">
        <f>Z168*Feuil2!$K$3</f>
        <v>201.39770706455542</v>
      </c>
      <c r="AP168" s="3">
        <f>AA168*Feuil2!$L$3</f>
        <v>0</v>
      </c>
      <c r="AQ168" s="3">
        <f>AB168*Feuil2!$M$3</f>
        <v>0</v>
      </c>
      <c r="AR168" s="3">
        <f>AC168*Feuil2!$N$3</f>
        <v>437.77201668720966</v>
      </c>
    </row>
    <row r="169" spans="1:44" x14ac:dyDescent="0.35">
      <c r="A169" t="s">
        <v>341</v>
      </c>
      <c r="B169" t="s">
        <v>342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395</v>
      </c>
      <c r="N169">
        <v>0</v>
      </c>
      <c r="O169">
        <v>395</v>
      </c>
      <c r="Q169" s="1">
        <f>C169/$C$434</f>
        <v>0</v>
      </c>
      <c r="R169" s="1">
        <f t="shared" si="33"/>
        <v>0</v>
      </c>
      <c r="S169" s="1">
        <f t="shared" si="37"/>
        <v>0</v>
      </c>
      <c r="T169" s="1">
        <f t="shared" si="38"/>
        <v>0</v>
      </c>
      <c r="U169" s="1">
        <f t="shared" si="39"/>
        <v>0</v>
      </c>
      <c r="V169" s="1">
        <f t="shared" si="40"/>
        <v>0</v>
      </c>
      <c r="W169" s="1">
        <f t="shared" si="41"/>
        <v>0</v>
      </c>
      <c r="X169" s="1">
        <f t="shared" si="42"/>
        <v>0</v>
      </c>
      <c r="Y169" s="1">
        <f t="shared" si="43"/>
        <v>0</v>
      </c>
      <c r="Z169" s="1">
        <f t="shared" si="34"/>
        <v>0</v>
      </c>
      <c r="AA169" s="1">
        <f t="shared" si="30"/>
        <v>9.8890919560373526E-3</v>
      </c>
      <c r="AB169" s="1">
        <f t="shared" si="31"/>
        <v>0</v>
      </c>
      <c r="AC169" s="1">
        <f t="shared" si="32"/>
        <v>1.0403168884253553E-3</v>
      </c>
      <c r="AD169" s="1" t="str">
        <f t="shared" si="35"/>
        <v>ALAIN GARAGE</v>
      </c>
      <c r="AE169" s="1" t="str">
        <f t="shared" si="36"/>
        <v>6186</v>
      </c>
      <c r="AF169" s="3">
        <f>Q169*Feuil2!$B$3</f>
        <v>0</v>
      </c>
      <c r="AG169" s="3">
        <f>R169*Feuil2!$C$3</f>
        <v>0</v>
      </c>
      <c r="AH169" s="3">
        <f>S169*Feuil2!$D$3</f>
        <v>0</v>
      </c>
      <c r="AI169" s="3">
        <f>T169*Feuil2!$E$2</f>
        <v>0</v>
      </c>
      <c r="AJ169" s="3">
        <f>U169*Feuil2!$F$3</f>
        <v>0</v>
      </c>
      <c r="AK169" s="3">
        <f>V169*Feuil2!$G$3</f>
        <v>0</v>
      </c>
      <c r="AL169" s="3">
        <f>W169*Feuil2!$H$3</f>
        <v>0</v>
      </c>
      <c r="AM169" s="3">
        <f>X169*Feuil2!$I$2</f>
        <v>0</v>
      </c>
      <c r="AN169" s="3">
        <f>Y169*Feuil2!$J$3</f>
        <v>0</v>
      </c>
      <c r="AO169" s="3">
        <f>Z169*Feuil2!$K$3</f>
        <v>0</v>
      </c>
      <c r="AP169" s="3">
        <f>AA169*Feuil2!$L$3</f>
        <v>359.54246300978895</v>
      </c>
      <c r="AQ169" s="3">
        <f>AB169*Feuil2!$M$3</f>
        <v>0</v>
      </c>
      <c r="AR169" s="3">
        <f>AC169*Feuil2!$N$3</f>
        <v>435.56661609936481</v>
      </c>
    </row>
    <row r="170" spans="1:44" x14ac:dyDescent="0.35">
      <c r="A170" t="s">
        <v>343</v>
      </c>
      <c r="B170" t="s">
        <v>344</v>
      </c>
      <c r="C170">
        <v>0</v>
      </c>
      <c r="D170">
        <v>0</v>
      </c>
      <c r="E170">
        <v>0</v>
      </c>
      <c r="F170">
        <v>75</v>
      </c>
      <c r="G170">
        <v>0</v>
      </c>
      <c r="H170">
        <v>0</v>
      </c>
      <c r="I170">
        <v>217</v>
      </c>
      <c r="J170">
        <v>0</v>
      </c>
      <c r="K170">
        <v>0</v>
      </c>
      <c r="L170">
        <v>103</v>
      </c>
      <c r="M170">
        <v>0</v>
      </c>
      <c r="N170">
        <v>0</v>
      </c>
      <c r="O170">
        <v>395</v>
      </c>
      <c r="Q170" s="1">
        <f>C170/$C$434</f>
        <v>0</v>
      </c>
      <c r="R170" s="1">
        <f t="shared" si="33"/>
        <v>0</v>
      </c>
      <c r="S170" s="1">
        <f t="shared" si="37"/>
        <v>0</v>
      </c>
      <c r="T170" s="1">
        <f t="shared" si="38"/>
        <v>3.0116853391157694E-3</v>
      </c>
      <c r="U170" s="1">
        <f t="shared" si="39"/>
        <v>0</v>
      </c>
      <c r="V170" s="1">
        <f t="shared" si="40"/>
        <v>0</v>
      </c>
      <c r="W170" s="1">
        <f t="shared" si="41"/>
        <v>4.8591517757176766E-3</v>
      </c>
      <c r="X170" s="1">
        <f t="shared" si="42"/>
        <v>0</v>
      </c>
      <c r="Y170" s="1">
        <f t="shared" si="43"/>
        <v>0</v>
      </c>
      <c r="Z170" s="1">
        <f t="shared" si="34"/>
        <v>2.6136825010150224E-3</v>
      </c>
      <c r="AA170" s="1">
        <f t="shared" si="30"/>
        <v>0</v>
      </c>
      <c r="AB170" s="1">
        <f t="shared" si="31"/>
        <v>0</v>
      </c>
      <c r="AC170" s="1">
        <f t="shared" si="32"/>
        <v>1.0403168884253553E-3</v>
      </c>
      <c r="AD170" s="1" t="str">
        <f t="shared" si="35"/>
        <v>CARA</v>
      </c>
      <c r="AE170" s="1" t="str">
        <f t="shared" si="36"/>
        <v>3408</v>
      </c>
      <c r="AF170" s="3">
        <f>Q170*Feuil2!$B$3</f>
        <v>0</v>
      </c>
      <c r="AG170" s="3">
        <f>R170*Feuil2!$C$3</f>
        <v>0</v>
      </c>
      <c r="AH170" s="3">
        <f>S170*Feuil2!$D$3</f>
        <v>0</v>
      </c>
      <c r="AI170" s="3">
        <f>T170*Feuil2!$E$2</f>
        <v>112.88700156607638</v>
      </c>
      <c r="AJ170" s="3">
        <f>U170*Feuil2!$F$3</f>
        <v>0</v>
      </c>
      <c r="AK170" s="3">
        <f>V170*Feuil2!$G$3</f>
        <v>0</v>
      </c>
      <c r="AL170" s="3">
        <f>W170*Feuil2!$H$3</f>
        <v>176.66651350261992</v>
      </c>
      <c r="AM170" s="3">
        <f>X170*Feuil2!$I$2</f>
        <v>0</v>
      </c>
      <c r="AN170" s="3">
        <f>Y170*Feuil2!$J$3</f>
        <v>0</v>
      </c>
      <c r="AO170" s="3">
        <f>Z170*Feuil2!$K$3</f>
        <v>105.29930876979294</v>
      </c>
      <c r="AP170" s="3">
        <f>AA170*Feuil2!$L$3</f>
        <v>0</v>
      </c>
      <c r="AQ170" s="3">
        <f>AB170*Feuil2!$M$3</f>
        <v>0</v>
      </c>
      <c r="AR170" s="3">
        <f>AC170*Feuil2!$N$3</f>
        <v>435.56661609936481</v>
      </c>
    </row>
    <row r="171" spans="1:44" x14ac:dyDescent="0.35">
      <c r="A171" t="s">
        <v>345</v>
      </c>
      <c r="B171" t="s">
        <v>346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129</v>
      </c>
      <c r="I171">
        <v>150</v>
      </c>
      <c r="J171">
        <v>0</v>
      </c>
      <c r="K171">
        <v>0</v>
      </c>
      <c r="L171">
        <v>0</v>
      </c>
      <c r="M171">
        <v>113</v>
      </c>
      <c r="N171">
        <v>0</v>
      </c>
      <c r="O171">
        <v>392</v>
      </c>
      <c r="Q171" s="1">
        <f>C171/$C$434</f>
        <v>0</v>
      </c>
      <c r="R171" s="1">
        <f t="shared" si="33"/>
        <v>0</v>
      </c>
      <c r="S171" s="1">
        <f t="shared" si="37"/>
        <v>0</v>
      </c>
      <c r="T171" s="1">
        <f t="shared" si="38"/>
        <v>0</v>
      </c>
      <c r="U171" s="1">
        <f t="shared" si="39"/>
        <v>0</v>
      </c>
      <c r="V171" s="1">
        <f t="shared" si="40"/>
        <v>4.3182807217219564E-3</v>
      </c>
      <c r="W171" s="1">
        <f t="shared" si="41"/>
        <v>3.3588606744592233E-3</v>
      </c>
      <c r="X171" s="1">
        <f t="shared" si="42"/>
        <v>0</v>
      </c>
      <c r="Y171" s="1">
        <f t="shared" si="43"/>
        <v>0</v>
      </c>
      <c r="Z171" s="1">
        <f t="shared" si="34"/>
        <v>0</v>
      </c>
      <c r="AA171" s="1">
        <f t="shared" si="30"/>
        <v>2.8290313697018252E-3</v>
      </c>
      <c r="AB171" s="1">
        <f t="shared" si="31"/>
        <v>0</v>
      </c>
      <c r="AC171" s="1">
        <f t="shared" si="32"/>
        <v>1.0324157475006058E-3</v>
      </c>
      <c r="AD171" s="1" t="str">
        <f t="shared" si="35"/>
        <v>GARAGE SENECAL  GAUCHET</v>
      </c>
      <c r="AE171" s="1" t="str">
        <f t="shared" si="36"/>
        <v>6237</v>
      </c>
      <c r="AF171" s="3">
        <f>Q171*Feuil2!$B$3</f>
        <v>0</v>
      </c>
      <c r="AG171" s="3">
        <f>R171*Feuil2!$C$3</f>
        <v>0</v>
      </c>
      <c r="AH171" s="3">
        <f>S171*Feuil2!$D$3</f>
        <v>0</v>
      </c>
      <c r="AI171" s="3">
        <f>T171*Feuil2!$E$2</f>
        <v>0</v>
      </c>
      <c r="AJ171" s="3">
        <f>U171*Feuil2!$F$3</f>
        <v>0</v>
      </c>
      <c r="AK171" s="3">
        <f>V171*Feuil2!$G$3</f>
        <v>173.97368459813211</v>
      </c>
      <c r="AL171" s="3">
        <f>W171*Feuil2!$H$3</f>
        <v>122.11970979443772</v>
      </c>
      <c r="AM171" s="3">
        <f>X171*Feuil2!$I$2</f>
        <v>0</v>
      </c>
      <c r="AN171" s="3">
        <f>Y171*Feuil2!$J$3</f>
        <v>0</v>
      </c>
      <c r="AO171" s="3">
        <f>Z171*Feuil2!$K$3</f>
        <v>0</v>
      </c>
      <c r="AP171" s="3">
        <f>AA171*Feuil2!$L$3</f>
        <v>102.85645144330672</v>
      </c>
      <c r="AQ171" s="3">
        <f>AB171*Feuil2!$M$3</f>
        <v>0</v>
      </c>
      <c r="AR171" s="3">
        <f>AC171*Feuil2!$N$3</f>
        <v>432.25851521759745</v>
      </c>
    </row>
    <row r="172" spans="1:44" x14ac:dyDescent="0.35">
      <c r="A172" t="s">
        <v>347</v>
      </c>
      <c r="B172" t="s">
        <v>310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103</v>
      </c>
      <c r="I172">
        <v>45</v>
      </c>
      <c r="J172">
        <v>27</v>
      </c>
      <c r="K172">
        <v>46</v>
      </c>
      <c r="L172">
        <v>94</v>
      </c>
      <c r="M172">
        <v>74</v>
      </c>
      <c r="N172">
        <v>0</v>
      </c>
      <c r="O172">
        <v>389</v>
      </c>
      <c r="Q172" s="1">
        <f>C172/$C$434</f>
        <v>0</v>
      </c>
      <c r="R172" s="1">
        <f t="shared" si="33"/>
        <v>0</v>
      </c>
      <c r="S172" s="1">
        <f t="shared" si="37"/>
        <v>0</v>
      </c>
      <c r="T172" s="1">
        <f t="shared" si="38"/>
        <v>0</v>
      </c>
      <c r="U172" s="1">
        <f t="shared" si="39"/>
        <v>0</v>
      </c>
      <c r="V172" s="1">
        <f t="shared" si="40"/>
        <v>3.4479295685066781E-3</v>
      </c>
      <c r="W172" s="1">
        <f t="shared" si="41"/>
        <v>1.007658202337767E-3</v>
      </c>
      <c r="X172" s="1">
        <f t="shared" si="42"/>
        <v>1.4424618014745164E-3</v>
      </c>
      <c r="Y172" s="1">
        <f t="shared" si="43"/>
        <v>1.1772835461827862E-3</v>
      </c>
      <c r="Z172" s="1">
        <f t="shared" si="34"/>
        <v>2.3853024766544864E-3</v>
      </c>
      <c r="AA172" s="1">
        <f t="shared" si="30"/>
        <v>1.8526400120171245E-3</v>
      </c>
      <c r="AB172" s="1">
        <f t="shared" si="31"/>
        <v>0</v>
      </c>
      <c r="AC172" s="1">
        <f t="shared" si="32"/>
        <v>1.0245146065758562E-3</v>
      </c>
      <c r="AD172" s="1" t="str">
        <f t="shared" si="35"/>
        <v>GARAGE QUIGNETTE</v>
      </c>
      <c r="AE172" s="1" t="str">
        <f t="shared" si="36"/>
        <v>3348</v>
      </c>
      <c r="AF172" s="3">
        <f>Q172*Feuil2!$B$3</f>
        <v>0</v>
      </c>
      <c r="AG172" s="3">
        <f>R172*Feuil2!$C$3</f>
        <v>0</v>
      </c>
      <c r="AH172" s="3">
        <f>S172*Feuil2!$D$3</f>
        <v>0</v>
      </c>
      <c r="AI172" s="3">
        <f>T172*Feuil2!$E$2</f>
        <v>0</v>
      </c>
      <c r="AJ172" s="3">
        <f>U172*Feuil2!$F$3</f>
        <v>0</v>
      </c>
      <c r="AK172" s="3">
        <f>V172*Feuil2!$G$3</f>
        <v>138.90922103571788</v>
      </c>
      <c r="AL172" s="3">
        <f>W172*Feuil2!$H$3</f>
        <v>36.635912938331323</v>
      </c>
      <c r="AM172" s="3">
        <f>X172*Feuil2!$I$2</f>
        <v>30.81386900309862</v>
      </c>
      <c r="AN172" s="3">
        <f>Y172*Feuil2!$J$3</f>
        <v>49.743573311493883</v>
      </c>
      <c r="AO172" s="3">
        <f>Z172*Feuil2!$K$3</f>
        <v>96.09839829476249</v>
      </c>
      <c r="AP172" s="3">
        <f>AA172*Feuil2!$L$3</f>
        <v>67.357322184112377</v>
      </c>
      <c r="AQ172" s="3">
        <f>AB172*Feuil2!$M$3</f>
        <v>0</v>
      </c>
      <c r="AR172" s="3">
        <f>AC172*Feuil2!$N$3</f>
        <v>428.95041433583015</v>
      </c>
    </row>
    <row r="173" spans="1:44" x14ac:dyDescent="0.35">
      <c r="A173" t="s">
        <v>307</v>
      </c>
      <c r="B173" t="s">
        <v>348</v>
      </c>
      <c r="C173">
        <v>59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89</v>
      </c>
      <c r="L173">
        <v>57</v>
      </c>
      <c r="M173">
        <v>184</v>
      </c>
      <c r="N173">
        <v>0</v>
      </c>
      <c r="O173">
        <v>389</v>
      </c>
      <c r="Q173" s="1">
        <f>C173/$C$434</f>
        <v>1.456466464242514E-3</v>
      </c>
      <c r="R173" s="1">
        <f t="shared" si="33"/>
        <v>0</v>
      </c>
      <c r="S173" s="1">
        <f t="shared" si="37"/>
        <v>0</v>
      </c>
      <c r="T173" s="1">
        <f t="shared" si="38"/>
        <v>0</v>
      </c>
      <c r="U173" s="1">
        <f t="shared" si="39"/>
        <v>0</v>
      </c>
      <c r="V173" s="1">
        <f t="shared" si="40"/>
        <v>0</v>
      </c>
      <c r="W173" s="1">
        <f t="shared" si="41"/>
        <v>0</v>
      </c>
      <c r="X173" s="1">
        <f t="shared" si="42"/>
        <v>0</v>
      </c>
      <c r="Y173" s="1">
        <f t="shared" si="43"/>
        <v>2.2777877306579992E-3</v>
      </c>
      <c r="Z173" s="1">
        <f t="shared" si="34"/>
        <v>1.4464068209500609E-3</v>
      </c>
      <c r="AA173" s="1">
        <f t="shared" si="30"/>
        <v>4.6065643542047416E-3</v>
      </c>
      <c r="AB173" s="1">
        <f t="shared" si="31"/>
        <v>0</v>
      </c>
      <c r="AC173" s="1">
        <f t="shared" si="32"/>
        <v>1.0245146065758562E-3</v>
      </c>
      <c r="AD173" s="1" t="str">
        <f t="shared" si="35"/>
        <v>LEMONNIER</v>
      </c>
      <c r="AE173" s="1" t="str">
        <f t="shared" si="36"/>
        <v>6004</v>
      </c>
      <c r="AF173" s="3">
        <f>Q173*Feuil2!$B$3</f>
        <v>51.522384655261789</v>
      </c>
      <c r="AG173" s="3">
        <f>R173*Feuil2!$C$3</f>
        <v>0</v>
      </c>
      <c r="AH173" s="3">
        <f>S173*Feuil2!$D$3</f>
        <v>0</v>
      </c>
      <c r="AI173" s="3">
        <f>T173*Feuil2!$E$2</f>
        <v>0</v>
      </c>
      <c r="AJ173" s="3">
        <f>U173*Feuil2!$F$3</f>
        <v>0</v>
      </c>
      <c r="AK173" s="3">
        <f>V173*Feuil2!$G$3</f>
        <v>0</v>
      </c>
      <c r="AL173" s="3">
        <f>W173*Feuil2!$H$3</f>
        <v>0</v>
      </c>
      <c r="AM173" s="3">
        <f>X173*Feuil2!$I$2</f>
        <v>0</v>
      </c>
      <c r="AN173" s="3">
        <f>Y173*Feuil2!$J$3</f>
        <v>96.243000537455544</v>
      </c>
      <c r="AO173" s="3">
        <f>Z173*Feuil2!$K$3</f>
        <v>58.272433008526185</v>
      </c>
      <c r="AP173" s="3">
        <f>AA173*Feuil2!$L$3</f>
        <v>167.48307137671182</v>
      </c>
      <c r="AQ173" s="3">
        <f>AB173*Feuil2!$M$3</f>
        <v>0</v>
      </c>
      <c r="AR173" s="3">
        <f>AC173*Feuil2!$N$3</f>
        <v>428.95041433583015</v>
      </c>
    </row>
    <row r="174" spans="1:44" x14ac:dyDescent="0.35">
      <c r="A174" t="s">
        <v>349</v>
      </c>
      <c r="B174" t="s">
        <v>350</v>
      </c>
      <c r="C174">
        <v>125</v>
      </c>
      <c r="D174">
        <v>0</v>
      </c>
      <c r="E174">
        <v>0</v>
      </c>
      <c r="F174">
        <v>11</v>
      </c>
      <c r="G174">
        <v>0</v>
      </c>
      <c r="H174">
        <v>0</v>
      </c>
      <c r="I174">
        <v>38</v>
      </c>
      <c r="J174">
        <v>0</v>
      </c>
      <c r="K174">
        <v>196</v>
      </c>
      <c r="L174">
        <v>0</v>
      </c>
      <c r="M174">
        <v>18</v>
      </c>
      <c r="N174">
        <v>0</v>
      </c>
      <c r="O174">
        <v>388</v>
      </c>
      <c r="Q174" s="1">
        <f>C174/$C$434</f>
        <v>3.0857340344121061E-3</v>
      </c>
      <c r="R174" s="1">
        <f t="shared" si="33"/>
        <v>0</v>
      </c>
      <c r="S174" s="1">
        <f t="shared" si="37"/>
        <v>0</v>
      </c>
      <c r="T174" s="1">
        <f t="shared" si="38"/>
        <v>4.417138497369795E-4</v>
      </c>
      <c r="U174" s="1">
        <f t="shared" si="39"/>
        <v>0</v>
      </c>
      <c r="V174" s="1">
        <f t="shared" si="40"/>
        <v>0</v>
      </c>
      <c r="W174" s="1">
        <f t="shared" si="41"/>
        <v>8.5091137086300327E-4</v>
      </c>
      <c r="X174" s="1">
        <f t="shared" si="42"/>
        <v>0</v>
      </c>
      <c r="Y174" s="1">
        <f t="shared" si="43"/>
        <v>5.0162516315614362E-3</v>
      </c>
      <c r="Z174" s="1">
        <f t="shared" si="34"/>
        <v>0</v>
      </c>
      <c r="AA174" s="1">
        <f t="shared" si="30"/>
        <v>4.5064216508524648E-4</v>
      </c>
      <c r="AB174" s="1">
        <f t="shared" si="31"/>
        <v>0</v>
      </c>
      <c r="AC174" s="1">
        <f t="shared" si="32"/>
        <v>1.0218808929342731E-3</v>
      </c>
      <c r="AD174" s="1" t="str">
        <f t="shared" si="35"/>
        <v>DE LA COTE</v>
      </c>
      <c r="AE174" s="1" t="str">
        <f t="shared" si="36"/>
        <v>3028</v>
      </c>
      <c r="AF174" s="3">
        <f>Q174*Feuil2!$B$3</f>
        <v>109.15759460860549</v>
      </c>
      <c r="AG174" s="3">
        <f>R174*Feuil2!$C$3</f>
        <v>0</v>
      </c>
      <c r="AH174" s="3">
        <f>S174*Feuil2!$D$3</f>
        <v>0</v>
      </c>
      <c r="AI174" s="3">
        <f>T174*Feuil2!$E$2</f>
        <v>16.556760229691204</v>
      </c>
      <c r="AJ174" s="3">
        <f>U174*Feuil2!$F$3</f>
        <v>0</v>
      </c>
      <c r="AK174" s="3">
        <f>V174*Feuil2!$G$3</f>
        <v>0</v>
      </c>
      <c r="AL174" s="3">
        <f>W174*Feuil2!$H$3</f>
        <v>30.936993147924227</v>
      </c>
      <c r="AM174" s="3">
        <f>X174*Feuil2!$I$2</f>
        <v>0</v>
      </c>
      <c r="AN174" s="3">
        <f>Y174*Feuil2!$J$3</f>
        <v>211.95087758810433</v>
      </c>
      <c r="AO174" s="3">
        <f>Z174*Feuil2!$K$3</f>
        <v>0</v>
      </c>
      <c r="AP174" s="3">
        <f>AA174*Feuil2!$L$3</f>
        <v>16.384213504243547</v>
      </c>
      <c r="AQ174" s="3">
        <f>AB174*Feuil2!$M$3</f>
        <v>0</v>
      </c>
      <c r="AR174" s="3">
        <f>AC174*Feuil2!$N$3</f>
        <v>427.84771404190775</v>
      </c>
    </row>
    <row r="175" spans="1:44" x14ac:dyDescent="0.35">
      <c r="A175" t="s">
        <v>351</v>
      </c>
      <c r="B175" t="s">
        <v>352</v>
      </c>
      <c r="C175">
        <v>53</v>
      </c>
      <c r="D175">
        <v>50</v>
      </c>
      <c r="E175">
        <v>53</v>
      </c>
      <c r="F175">
        <v>0</v>
      </c>
      <c r="G175">
        <v>50</v>
      </c>
      <c r="H175">
        <v>18</v>
      </c>
      <c r="I175">
        <v>33</v>
      </c>
      <c r="J175">
        <v>18</v>
      </c>
      <c r="K175">
        <v>78</v>
      </c>
      <c r="L175">
        <v>0</v>
      </c>
      <c r="M175">
        <v>35</v>
      </c>
      <c r="N175">
        <v>0</v>
      </c>
      <c r="O175">
        <v>388</v>
      </c>
      <c r="Q175" s="1">
        <f>C175/$C$434</f>
        <v>1.3083512305907328E-3</v>
      </c>
      <c r="R175" s="1">
        <f t="shared" si="33"/>
        <v>2.1077480819492456E-3</v>
      </c>
      <c r="S175" s="1">
        <f t="shared" si="37"/>
        <v>1.7991106283309006E-3</v>
      </c>
      <c r="T175" s="1">
        <f t="shared" si="38"/>
        <v>0</v>
      </c>
      <c r="U175" s="1">
        <f t="shared" si="39"/>
        <v>2.3834493278672895E-3</v>
      </c>
      <c r="V175" s="1">
        <f t="shared" si="40"/>
        <v>6.0255079837980789E-4</v>
      </c>
      <c r="W175" s="1">
        <f t="shared" si="41"/>
        <v>7.3894934838102913E-4</v>
      </c>
      <c r="X175" s="1">
        <f t="shared" si="42"/>
        <v>9.61641200983011E-4</v>
      </c>
      <c r="Y175" s="1">
        <f t="shared" si="43"/>
        <v>1.9962634043968982E-3</v>
      </c>
      <c r="Z175" s="1">
        <f t="shared" si="34"/>
        <v>0</v>
      </c>
      <c r="AA175" s="1">
        <f t="shared" si="30"/>
        <v>8.7624865433242368E-4</v>
      </c>
      <c r="AB175" s="1">
        <f t="shared" si="31"/>
        <v>0</v>
      </c>
      <c r="AC175" s="1">
        <f t="shared" si="32"/>
        <v>1.0218808929342731E-3</v>
      </c>
      <c r="AD175" s="1" t="str">
        <f t="shared" si="35"/>
        <v>JTD DEBOSSELAGE</v>
      </c>
      <c r="AE175" s="1" t="str">
        <f t="shared" si="36"/>
        <v>3450</v>
      </c>
      <c r="AF175" s="3">
        <f>Q175*Feuil2!$B$3</f>
        <v>46.282820114048725</v>
      </c>
      <c r="AG175" s="3">
        <f>R175*Feuil2!$C$3</f>
        <v>74.561419779108007</v>
      </c>
      <c r="AH175" s="3">
        <f>S175*Feuil2!$D$3</f>
        <v>70.70108965002207</v>
      </c>
      <c r="AI175" s="3">
        <f>T175*Feuil2!$E$2</f>
        <v>0</v>
      </c>
      <c r="AJ175" s="3">
        <f>U175*Feuil2!$F$3</f>
        <v>60.893316808084663</v>
      </c>
      <c r="AK175" s="3">
        <f>V175*Feuil2!$G$3</f>
        <v>24.275397850902156</v>
      </c>
      <c r="AL175" s="3">
        <f>W175*Feuil2!$H$3</f>
        <v>26.866336154776302</v>
      </c>
      <c r="AM175" s="3">
        <f>X175*Feuil2!$I$2</f>
        <v>20.542579335399083</v>
      </c>
      <c r="AN175" s="3">
        <f>Y175*Feuil2!$J$3</f>
        <v>84.347798223837444</v>
      </c>
      <c r="AO175" s="3">
        <f>Z175*Feuil2!$K$3</f>
        <v>0</v>
      </c>
      <c r="AP175" s="3">
        <f>AA175*Feuil2!$L$3</f>
        <v>31.858192924918011</v>
      </c>
      <c r="AQ175" s="3">
        <f>AB175*Feuil2!$M$3</f>
        <v>0</v>
      </c>
      <c r="AR175" s="3">
        <f>AC175*Feuil2!$N$3</f>
        <v>427.84771404190775</v>
      </c>
    </row>
    <row r="176" spans="1:44" x14ac:dyDescent="0.35">
      <c r="A176" t="s">
        <v>353</v>
      </c>
      <c r="B176" t="s">
        <v>354</v>
      </c>
      <c r="C176">
        <v>0</v>
      </c>
      <c r="D176">
        <v>125</v>
      </c>
      <c r="E176">
        <v>0</v>
      </c>
      <c r="F176">
        <v>0</v>
      </c>
      <c r="G176">
        <v>0</v>
      </c>
      <c r="H176">
        <v>58</v>
      </c>
      <c r="I176">
        <v>0</v>
      </c>
      <c r="J176">
        <v>49</v>
      </c>
      <c r="K176">
        <v>131</v>
      </c>
      <c r="L176">
        <v>23</v>
      </c>
      <c r="M176">
        <v>0</v>
      </c>
      <c r="N176">
        <v>0</v>
      </c>
      <c r="O176">
        <v>386</v>
      </c>
      <c r="Q176" s="1">
        <f>C176/$C$434</f>
        <v>0</v>
      </c>
      <c r="R176" s="1">
        <f t="shared" si="33"/>
        <v>5.2693702048731139E-3</v>
      </c>
      <c r="S176" s="1">
        <f t="shared" si="37"/>
        <v>0</v>
      </c>
      <c r="T176" s="1">
        <f t="shared" si="38"/>
        <v>0</v>
      </c>
      <c r="U176" s="1">
        <f t="shared" si="39"/>
        <v>0</v>
      </c>
      <c r="V176" s="1">
        <f t="shared" si="40"/>
        <v>1.9415525725571586E-3</v>
      </c>
      <c r="W176" s="1">
        <f t="shared" si="41"/>
        <v>0</v>
      </c>
      <c r="X176" s="1">
        <f t="shared" si="42"/>
        <v>2.617801047120419E-3</v>
      </c>
      <c r="Y176" s="1">
        <f t="shared" si="43"/>
        <v>3.3526987945640212E-3</v>
      </c>
      <c r="Z176" s="1">
        <f t="shared" si="34"/>
        <v>5.8363784003248066E-4</v>
      </c>
      <c r="AA176" s="1">
        <f t="shared" si="30"/>
        <v>0</v>
      </c>
      <c r="AB176" s="1">
        <f t="shared" si="31"/>
        <v>0</v>
      </c>
      <c r="AC176" s="1">
        <f t="shared" si="32"/>
        <v>1.0166134656511066E-3</v>
      </c>
      <c r="AD176" s="1" t="str">
        <f t="shared" si="35"/>
        <v>JEAN ERIC SARL</v>
      </c>
      <c r="AE176" s="1" t="str">
        <f t="shared" si="36"/>
        <v>3291</v>
      </c>
      <c r="AF176" s="3">
        <f>Q176*Feuil2!$B$3</f>
        <v>0</v>
      </c>
      <c r="AG176" s="3">
        <f>R176*Feuil2!$C$3</f>
        <v>186.40354944777002</v>
      </c>
      <c r="AH176" s="3">
        <f>S176*Feuil2!$D$3</f>
        <v>0</v>
      </c>
      <c r="AI176" s="3">
        <f>T176*Feuil2!$E$2</f>
        <v>0</v>
      </c>
      <c r="AJ176" s="3">
        <f>U176*Feuil2!$F$3</f>
        <v>0</v>
      </c>
      <c r="AK176" s="3">
        <f>V176*Feuil2!$G$3</f>
        <v>78.220726408462497</v>
      </c>
      <c r="AL176" s="3">
        <f>W176*Feuil2!$H$3</f>
        <v>0</v>
      </c>
      <c r="AM176" s="3">
        <f>X176*Feuil2!$I$2</f>
        <v>55.921465968586389</v>
      </c>
      <c r="AN176" s="3">
        <f>Y176*Feuil2!$J$3</f>
        <v>141.66104573490648</v>
      </c>
      <c r="AO176" s="3">
        <f>Z176*Feuil2!$K$3</f>
        <v>23.513437880633372</v>
      </c>
      <c r="AP176" s="3">
        <f>AA176*Feuil2!$L$3</f>
        <v>0</v>
      </c>
      <c r="AQ176" s="3">
        <f>AB176*Feuil2!$M$3</f>
        <v>0</v>
      </c>
      <c r="AR176" s="3">
        <f>AC176*Feuil2!$N$3</f>
        <v>425.64231345406279</v>
      </c>
    </row>
    <row r="177" spans="1:44" x14ac:dyDescent="0.35">
      <c r="A177" t="s">
        <v>355</v>
      </c>
      <c r="B177" t="s">
        <v>356</v>
      </c>
      <c r="C177">
        <v>22</v>
      </c>
      <c r="D177">
        <v>0</v>
      </c>
      <c r="E177">
        <v>121</v>
      </c>
      <c r="F177">
        <v>0</v>
      </c>
      <c r="G177">
        <v>0</v>
      </c>
      <c r="H177">
        <v>70</v>
      </c>
      <c r="I177">
        <v>106</v>
      </c>
      <c r="J177">
        <v>0</v>
      </c>
      <c r="K177">
        <v>0</v>
      </c>
      <c r="L177">
        <v>0</v>
      </c>
      <c r="M177">
        <v>67</v>
      </c>
      <c r="N177">
        <v>0</v>
      </c>
      <c r="O177">
        <v>386</v>
      </c>
      <c r="Q177" s="1">
        <f>C177/$C$434</f>
        <v>5.430891900565307E-4</v>
      </c>
      <c r="R177" s="1">
        <f t="shared" si="33"/>
        <v>0</v>
      </c>
      <c r="S177" s="1">
        <f t="shared" si="37"/>
        <v>4.1074035099629997E-3</v>
      </c>
      <c r="T177" s="1">
        <f t="shared" si="38"/>
        <v>0</v>
      </c>
      <c r="U177" s="1">
        <f t="shared" si="39"/>
        <v>0</v>
      </c>
      <c r="V177" s="1">
        <f t="shared" si="40"/>
        <v>2.3432531048103639E-3</v>
      </c>
      <c r="W177" s="1">
        <f t="shared" si="41"/>
        <v>2.3735948766178514E-3</v>
      </c>
      <c r="X177" s="1">
        <f t="shared" si="42"/>
        <v>0</v>
      </c>
      <c r="Y177" s="1">
        <f t="shared" si="43"/>
        <v>0</v>
      </c>
      <c r="Z177" s="1">
        <f t="shared" si="34"/>
        <v>0</v>
      </c>
      <c r="AA177" s="1">
        <f t="shared" si="30"/>
        <v>1.6773902811506396E-3</v>
      </c>
      <c r="AB177" s="1">
        <f t="shared" si="31"/>
        <v>0</v>
      </c>
      <c r="AC177" s="1">
        <f t="shared" si="32"/>
        <v>1.0166134656511066E-3</v>
      </c>
      <c r="AD177" s="1" t="str">
        <f t="shared" si="35"/>
        <v>ROGNON ET FILS</v>
      </c>
      <c r="AE177" s="1" t="str">
        <f t="shared" si="36"/>
        <v>5007</v>
      </c>
      <c r="AF177" s="3">
        <f>Q177*Feuil2!$B$3</f>
        <v>19.211736651114567</v>
      </c>
      <c r="AG177" s="3">
        <f>R177*Feuil2!$C$3</f>
        <v>0</v>
      </c>
      <c r="AH177" s="3">
        <f>S177*Feuil2!$D$3</f>
        <v>161.41192165382398</v>
      </c>
      <c r="AI177" s="3">
        <f>T177*Feuil2!$E$2</f>
        <v>0</v>
      </c>
      <c r="AJ177" s="3">
        <f>U177*Feuil2!$F$3</f>
        <v>0</v>
      </c>
      <c r="AK177" s="3">
        <f>V177*Feuil2!$G$3</f>
        <v>94.404324975730603</v>
      </c>
      <c r="AL177" s="3">
        <f>W177*Feuil2!$H$3</f>
        <v>86.297928254736007</v>
      </c>
      <c r="AM177" s="3">
        <f>X177*Feuil2!$I$2</f>
        <v>0</v>
      </c>
      <c r="AN177" s="3">
        <f>Y177*Feuil2!$J$3</f>
        <v>0</v>
      </c>
      <c r="AO177" s="3">
        <f>Z177*Feuil2!$K$3</f>
        <v>0</v>
      </c>
      <c r="AP177" s="3">
        <f>AA177*Feuil2!$L$3</f>
        <v>60.985683599128762</v>
      </c>
      <c r="AQ177" s="3">
        <f>AB177*Feuil2!$M$3</f>
        <v>0</v>
      </c>
      <c r="AR177" s="3">
        <f>AC177*Feuil2!$N$3</f>
        <v>425.64231345406279</v>
      </c>
    </row>
    <row r="178" spans="1:44" x14ac:dyDescent="0.35">
      <c r="A178" t="s">
        <v>357</v>
      </c>
      <c r="B178" t="s">
        <v>358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249</v>
      </c>
      <c r="J178">
        <v>0</v>
      </c>
      <c r="K178">
        <v>20</v>
      </c>
      <c r="L178">
        <v>0</v>
      </c>
      <c r="M178">
        <v>113</v>
      </c>
      <c r="N178">
        <v>0</v>
      </c>
      <c r="O178">
        <v>382</v>
      </c>
      <c r="Q178" s="1">
        <f>C178/$C$434</f>
        <v>0</v>
      </c>
      <c r="R178" s="1">
        <f t="shared" si="33"/>
        <v>0</v>
      </c>
      <c r="S178" s="1">
        <f t="shared" si="37"/>
        <v>0</v>
      </c>
      <c r="T178" s="1">
        <f t="shared" si="38"/>
        <v>0</v>
      </c>
      <c r="U178" s="1">
        <f t="shared" si="39"/>
        <v>0</v>
      </c>
      <c r="V178" s="1">
        <f t="shared" si="40"/>
        <v>0</v>
      </c>
      <c r="W178" s="1">
        <f t="shared" si="41"/>
        <v>5.5757087196023113E-3</v>
      </c>
      <c r="X178" s="1">
        <f t="shared" si="42"/>
        <v>0</v>
      </c>
      <c r="Y178" s="1">
        <f t="shared" si="43"/>
        <v>5.1186241138381999E-4</v>
      </c>
      <c r="Z178" s="1">
        <f t="shared" si="34"/>
        <v>0</v>
      </c>
      <c r="AA178" s="1">
        <f t="shared" si="30"/>
        <v>2.8290313697018252E-3</v>
      </c>
      <c r="AB178" s="1">
        <f t="shared" si="31"/>
        <v>0</v>
      </c>
      <c r="AC178" s="1">
        <f t="shared" si="32"/>
        <v>1.006078611084774E-3</v>
      </c>
      <c r="AD178" s="1" t="str">
        <f t="shared" si="35"/>
        <v>DEPARROIS BRIONNE</v>
      </c>
      <c r="AE178" s="1" t="str">
        <f t="shared" si="36"/>
        <v>5432</v>
      </c>
      <c r="AF178" s="3">
        <f>Q178*Feuil2!$B$3</f>
        <v>0</v>
      </c>
      <c r="AG178" s="3">
        <f>R178*Feuil2!$C$3</f>
        <v>0</v>
      </c>
      <c r="AH178" s="3">
        <f>S178*Feuil2!$D$3</f>
        <v>0</v>
      </c>
      <c r="AI178" s="3">
        <f>T178*Feuil2!$E$2</f>
        <v>0</v>
      </c>
      <c r="AJ178" s="3">
        <f>U178*Feuil2!$F$3</f>
        <v>0</v>
      </c>
      <c r="AK178" s="3">
        <f>V178*Feuil2!$G$3</f>
        <v>0</v>
      </c>
      <c r="AL178" s="3">
        <f>W178*Feuil2!$H$3</f>
        <v>202.71871825876667</v>
      </c>
      <c r="AM178" s="3">
        <f>X178*Feuil2!$I$2</f>
        <v>0</v>
      </c>
      <c r="AN178" s="3">
        <f>Y178*Feuil2!$J$3</f>
        <v>21.627640570214727</v>
      </c>
      <c r="AO178" s="3">
        <f>Z178*Feuil2!$K$3</f>
        <v>0</v>
      </c>
      <c r="AP178" s="3">
        <f>AA178*Feuil2!$L$3</f>
        <v>102.85645144330672</v>
      </c>
      <c r="AQ178" s="3">
        <f>AB178*Feuil2!$M$3</f>
        <v>0</v>
      </c>
      <c r="AR178" s="3">
        <f>AC178*Feuil2!$N$3</f>
        <v>421.23151227837303</v>
      </c>
    </row>
    <row r="179" spans="1:44" x14ac:dyDescent="0.35">
      <c r="A179" t="s">
        <v>359</v>
      </c>
      <c r="B179" t="s">
        <v>360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203</v>
      </c>
      <c r="K179">
        <v>50</v>
      </c>
      <c r="L179">
        <v>85</v>
      </c>
      <c r="M179">
        <v>41</v>
      </c>
      <c r="N179">
        <v>0</v>
      </c>
      <c r="O179">
        <v>379</v>
      </c>
      <c r="Q179" s="1">
        <f>C179/$C$434</f>
        <v>0</v>
      </c>
      <c r="R179" s="1">
        <f t="shared" si="33"/>
        <v>0</v>
      </c>
      <c r="S179" s="1">
        <f t="shared" si="37"/>
        <v>0</v>
      </c>
      <c r="T179" s="1">
        <f t="shared" si="38"/>
        <v>0</v>
      </c>
      <c r="U179" s="1">
        <f t="shared" si="39"/>
        <v>0</v>
      </c>
      <c r="V179" s="1">
        <f t="shared" si="40"/>
        <v>0</v>
      </c>
      <c r="W179" s="1">
        <f t="shared" si="41"/>
        <v>0</v>
      </c>
      <c r="X179" s="1">
        <f t="shared" si="42"/>
        <v>1.0845175766641735E-2</v>
      </c>
      <c r="Y179" s="1">
        <f t="shared" si="43"/>
        <v>1.2796560284595501E-3</v>
      </c>
      <c r="Z179" s="1">
        <f t="shared" si="34"/>
        <v>2.1569224522939505E-3</v>
      </c>
      <c r="AA179" s="1">
        <f t="shared" si="30"/>
        <v>1.0264627093608393E-3</v>
      </c>
      <c r="AB179" s="1">
        <f t="shared" si="31"/>
        <v>0</v>
      </c>
      <c r="AC179" s="1">
        <f t="shared" si="32"/>
        <v>9.9817747016002446E-4</v>
      </c>
      <c r="AD179" s="1" t="str">
        <f t="shared" si="35"/>
        <v>FD GARAGE</v>
      </c>
      <c r="AE179" s="1" t="str">
        <f t="shared" si="36"/>
        <v>5253</v>
      </c>
      <c r="AF179" s="3">
        <f>Q179*Feuil2!$B$3</f>
        <v>0</v>
      </c>
      <c r="AG179" s="3">
        <f>R179*Feuil2!$C$3</f>
        <v>0</v>
      </c>
      <c r="AH179" s="3">
        <f>S179*Feuil2!$D$3</f>
        <v>0</v>
      </c>
      <c r="AI179" s="3">
        <f>T179*Feuil2!$E$2</f>
        <v>0</v>
      </c>
      <c r="AJ179" s="3">
        <f>U179*Feuil2!$F$3</f>
        <v>0</v>
      </c>
      <c r="AK179" s="3">
        <f>V179*Feuil2!$G$3</f>
        <v>0</v>
      </c>
      <c r="AL179" s="3">
        <f>W179*Feuil2!$H$3</f>
        <v>0</v>
      </c>
      <c r="AM179" s="3">
        <f>X179*Feuil2!$I$2</f>
        <v>231.67464472700073</v>
      </c>
      <c r="AN179" s="3">
        <f>Y179*Feuil2!$J$3</f>
        <v>54.069101425536822</v>
      </c>
      <c r="AO179" s="3">
        <f>Z179*Feuil2!$K$3</f>
        <v>86.897487819732035</v>
      </c>
      <c r="AP179" s="3">
        <f>AA179*Feuil2!$L$3</f>
        <v>37.319597426332528</v>
      </c>
      <c r="AQ179" s="3">
        <f>AB179*Feuil2!$M$3</f>
        <v>0</v>
      </c>
      <c r="AR179" s="3">
        <f>AC179*Feuil2!$N$3</f>
        <v>417.92341139660573</v>
      </c>
    </row>
    <row r="180" spans="1:44" x14ac:dyDescent="0.35">
      <c r="A180" t="s">
        <v>361</v>
      </c>
      <c r="B180" t="s">
        <v>362</v>
      </c>
      <c r="C180">
        <v>93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286</v>
      </c>
      <c r="N180">
        <v>0</v>
      </c>
      <c r="O180">
        <v>379</v>
      </c>
      <c r="Q180" s="1">
        <f>C180/$C$434</f>
        <v>2.2957861216026066E-3</v>
      </c>
      <c r="R180" s="1">
        <f t="shared" si="33"/>
        <v>0</v>
      </c>
      <c r="S180" s="1">
        <f t="shared" si="37"/>
        <v>0</v>
      </c>
      <c r="T180" s="1">
        <f t="shared" si="38"/>
        <v>0</v>
      </c>
      <c r="U180" s="1">
        <f t="shared" si="39"/>
        <v>0</v>
      </c>
      <c r="V180" s="1">
        <f t="shared" si="40"/>
        <v>0</v>
      </c>
      <c r="W180" s="1">
        <f t="shared" si="41"/>
        <v>0</v>
      </c>
      <c r="X180" s="1">
        <f t="shared" si="42"/>
        <v>0</v>
      </c>
      <c r="Y180" s="1">
        <f t="shared" si="43"/>
        <v>0</v>
      </c>
      <c r="Z180" s="1">
        <f t="shared" si="34"/>
        <v>0</v>
      </c>
      <c r="AA180" s="1">
        <f t="shared" si="30"/>
        <v>7.1602032896878054E-3</v>
      </c>
      <c r="AB180" s="1">
        <f t="shared" si="31"/>
        <v>0</v>
      </c>
      <c r="AC180" s="1">
        <f t="shared" si="32"/>
        <v>9.9817747016002446E-4</v>
      </c>
      <c r="AD180" s="1" t="str">
        <f t="shared" si="35"/>
        <v>JP LEMARECHAL SARL</v>
      </c>
      <c r="AE180" s="1" t="str">
        <f t="shared" si="36"/>
        <v>2158</v>
      </c>
      <c r="AF180" s="3">
        <f>Q180*Feuil2!$B$3</f>
        <v>81.213250388802479</v>
      </c>
      <c r="AG180" s="3">
        <f>R180*Feuil2!$C$3</f>
        <v>0</v>
      </c>
      <c r="AH180" s="3">
        <f>S180*Feuil2!$D$3</f>
        <v>0</v>
      </c>
      <c r="AI180" s="3">
        <f>T180*Feuil2!$E$2</f>
        <v>0</v>
      </c>
      <c r="AJ180" s="3">
        <f>U180*Feuil2!$F$3</f>
        <v>0</v>
      </c>
      <c r="AK180" s="3">
        <f>V180*Feuil2!$G$3</f>
        <v>0</v>
      </c>
      <c r="AL180" s="3">
        <f>W180*Feuil2!$H$3</f>
        <v>0</v>
      </c>
      <c r="AM180" s="3">
        <f>X180*Feuil2!$I$2</f>
        <v>0</v>
      </c>
      <c r="AN180" s="3">
        <f>Y180*Feuil2!$J$3</f>
        <v>0</v>
      </c>
      <c r="AO180" s="3">
        <f>Z180*Feuil2!$K$3</f>
        <v>0</v>
      </c>
      <c r="AP180" s="3">
        <f>AA180*Feuil2!$L$3</f>
        <v>260.32694790075863</v>
      </c>
      <c r="AQ180" s="3">
        <f>AB180*Feuil2!$M$3</f>
        <v>0</v>
      </c>
      <c r="AR180" s="3">
        <f>AC180*Feuil2!$N$3</f>
        <v>417.92341139660573</v>
      </c>
    </row>
    <row r="181" spans="1:44" x14ac:dyDescent="0.35">
      <c r="A181" t="s">
        <v>363</v>
      </c>
      <c r="B181" t="s">
        <v>364</v>
      </c>
      <c r="C181">
        <v>40</v>
      </c>
      <c r="D181">
        <v>61</v>
      </c>
      <c r="E181">
        <v>0</v>
      </c>
      <c r="F181">
        <v>0</v>
      </c>
      <c r="G181">
        <v>27</v>
      </c>
      <c r="H181">
        <v>0</v>
      </c>
      <c r="I181">
        <v>0</v>
      </c>
      <c r="J181">
        <v>0</v>
      </c>
      <c r="K181">
        <v>242</v>
      </c>
      <c r="L181">
        <v>0</v>
      </c>
      <c r="M181">
        <v>0</v>
      </c>
      <c r="N181">
        <v>0</v>
      </c>
      <c r="O181">
        <v>370</v>
      </c>
      <c r="Q181" s="1">
        <f>C181/$C$434</f>
        <v>9.874348910118738E-4</v>
      </c>
      <c r="R181" s="1">
        <f t="shared" si="33"/>
        <v>2.5714526599780792E-3</v>
      </c>
      <c r="S181" s="1">
        <f t="shared" si="37"/>
        <v>0</v>
      </c>
      <c r="T181" s="1">
        <f t="shared" si="38"/>
        <v>0</v>
      </c>
      <c r="U181" s="1">
        <f t="shared" si="39"/>
        <v>1.2870626370483365E-3</v>
      </c>
      <c r="V181" s="1">
        <f t="shared" si="40"/>
        <v>0</v>
      </c>
      <c r="W181" s="1">
        <f t="shared" si="41"/>
        <v>0</v>
      </c>
      <c r="X181" s="1">
        <f t="shared" si="42"/>
        <v>0</v>
      </c>
      <c r="Y181" s="1">
        <f t="shared" si="43"/>
        <v>6.1935351777442221E-3</v>
      </c>
      <c r="Z181" s="1">
        <f t="shared" si="34"/>
        <v>0</v>
      </c>
      <c r="AA181" s="1">
        <f t="shared" si="30"/>
        <v>0</v>
      </c>
      <c r="AB181" s="1">
        <f t="shared" si="31"/>
        <v>0</v>
      </c>
      <c r="AC181" s="1">
        <f t="shared" si="32"/>
        <v>9.7447404738577588E-4</v>
      </c>
      <c r="AD181" s="1" t="str">
        <f t="shared" si="35"/>
        <v>GARAGE CARVI EUROREPAR</v>
      </c>
      <c r="AE181" s="1" t="str">
        <f t="shared" si="36"/>
        <v>4551</v>
      </c>
      <c r="AF181" s="3">
        <f>Q181*Feuil2!$B$3</f>
        <v>34.930430274753753</v>
      </c>
      <c r="AG181" s="3">
        <f>R181*Feuil2!$C$3</f>
        <v>90.964932130511755</v>
      </c>
      <c r="AH181" s="3">
        <f>S181*Feuil2!$D$3</f>
        <v>0</v>
      </c>
      <c r="AI181" s="3">
        <f>T181*Feuil2!$E$2</f>
        <v>0</v>
      </c>
      <c r="AJ181" s="3">
        <f>U181*Feuil2!$F$3</f>
        <v>32.882391076365721</v>
      </c>
      <c r="AK181" s="3">
        <f>V181*Feuil2!$G$3</f>
        <v>0</v>
      </c>
      <c r="AL181" s="3">
        <f>W181*Feuil2!$H$3</f>
        <v>0</v>
      </c>
      <c r="AM181" s="3">
        <f>X181*Feuil2!$I$2</f>
        <v>0</v>
      </c>
      <c r="AN181" s="3">
        <f>Y181*Feuil2!$J$3</f>
        <v>261.69445089959822</v>
      </c>
      <c r="AO181" s="3">
        <f>Z181*Feuil2!$K$3</f>
        <v>0</v>
      </c>
      <c r="AP181" s="3">
        <f>AA181*Feuil2!$L$3</f>
        <v>0</v>
      </c>
      <c r="AQ181" s="3">
        <f>AB181*Feuil2!$M$3</f>
        <v>0</v>
      </c>
      <c r="AR181" s="3">
        <f>AC181*Feuil2!$N$3</f>
        <v>407.99910875130377</v>
      </c>
    </row>
    <row r="182" spans="1:44" x14ac:dyDescent="0.35">
      <c r="A182" t="s">
        <v>365</v>
      </c>
      <c r="B182" t="s">
        <v>366</v>
      </c>
      <c r="C182">
        <v>367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367</v>
      </c>
      <c r="Q182" s="1">
        <f>C182/$C$434</f>
        <v>9.0597151250339427E-3</v>
      </c>
      <c r="R182" s="1">
        <f t="shared" si="33"/>
        <v>0</v>
      </c>
      <c r="S182" s="1">
        <f t="shared" si="37"/>
        <v>0</v>
      </c>
      <c r="T182" s="1">
        <f t="shared" si="38"/>
        <v>0</v>
      </c>
      <c r="U182" s="1">
        <f t="shared" si="39"/>
        <v>0</v>
      </c>
      <c r="V182" s="1">
        <f t="shared" si="40"/>
        <v>0</v>
      </c>
      <c r="W182" s="1">
        <f t="shared" si="41"/>
        <v>0</v>
      </c>
      <c r="X182" s="1">
        <f t="shared" si="42"/>
        <v>0</v>
      </c>
      <c r="Y182" s="1">
        <f t="shared" si="43"/>
        <v>0</v>
      </c>
      <c r="Z182" s="1">
        <f t="shared" si="34"/>
        <v>0</v>
      </c>
      <c r="AA182" s="1">
        <f t="shared" si="30"/>
        <v>0</v>
      </c>
      <c r="AB182" s="1">
        <f t="shared" si="31"/>
        <v>0</v>
      </c>
      <c r="AC182" s="1">
        <f t="shared" si="32"/>
        <v>9.6657290646102632E-4</v>
      </c>
      <c r="AD182" s="1" t="str">
        <f t="shared" si="35"/>
        <v>EURO-LOC</v>
      </c>
      <c r="AE182" s="1" t="str">
        <f t="shared" si="36"/>
        <v>3872</v>
      </c>
      <c r="AF182" s="3">
        <f>Q182*Feuil2!$B$3</f>
        <v>320.4866977708657</v>
      </c>
      <c r="AG182" s="3">
        <f>R182*Feuil2!$C$3</f>
        <v>0</v>
      </c>
      <c r="AH182" s="3">
        <f>S182*Feuil2!$D$3</f>
        <v>0</v>
      </c>
      <c r="AI182" s="3">
        <f>T182*Feuil2!$E$2</f>
        <v>0</v>
      </c>
      <c r="AJ182" s="3">
        <f>U182*Feuil2!$F$3</f>
        <v>0</v>
      </c>
      <c r="AK182" s="3">
        <f>V182*Feuil2!$G$3</f>
        <v>0</v>
      </c>
      <c r="AL182" s="3">
        <f>W182*Feuil2!$H$3</f>
        <v>0</v>
      </c>
      <c r="AM182" s="3">
        <f>X182*Feuil2!$I$2</f>
        <v>0</v>
      </c>
      <c r="AN182" s="3">
        <f>Y182*Feuil2!$J$3</f>
        <v>0</v>
      </c>
      <c r="AO182" s="3">
        <f>Z182*Feuil2!$K$3</f>
        <v>0</v>
      </c>
      <c r="AP182" s="3">
        <f>AA182*Feuil2!$L$3</f>
        <v>0</v>
      </c>
      <c r="AQ182" s="3">
        <f>AB182*Feuil2!$M$3</f>
        <v>0</v>
      </c>
      <c r="AR182" s="3">
        <f>AC182*Feuil2!$N$3</f>
        <v>404.69100786953641</v>
      </c>
    </row>
    <row r="183" spans="1:44" x14ac:dyDescent="0.35">
      <c r="A183" t="s">
        <v>367</v>
      </c>
      <c r="B183" t="s">
        <v>368</v>
      </c>
      <c r="C183">
        <v>189</v>
      </c>
      <c r="D183">
        <v>31</v>
      </c>
      <c r="E183">
        <v>64</v>
      </c>
      <c r="F183">
        <v>8</v>
      </c>
      <c r="G183">
        <v>0</v>
      </c>
      <c r="H183">
        <v>67</v>
      </c>
      <c r="I183">
        <v>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367</v>
      </c>
      <c r="Q183" s="1">
        <f>C183/$C$434</f>
        <v>4.6656298600311046E-3</v>
      </c>
      <c r="R183" s="1">
        <f t="shared" si="33"/>
        <v>1.3068038108085321E-3</v>
      </c>
      <c r="S183" s="1">
        <f t="shared" si="37"/>
        <v>2.1725109474184461E-3</v>
      </c>
      <c r="T183" s="1">
        <f t="shared" si="38"/>
        <v>3.2124643617234869E-4</v>
      </c>
      <c r="U183" s="1">
        <f t="shared" si="39"/>
        <v>0</v>
      </c>
      <c r="V183" s="1">
        <f t="shared" si="40"/>
        <v>2.2428279717470628E-3</v>
      </c>
      <c r="W183" s="1">
        <f t="shared" si="41"/>
        <v>1.7913923597115858E-4</v>
      </c>
      <c r="X183" s="1">
        <f t="shared" si="42"/>
        <v>0</v>
      </c>
      <c r="Y183" s="1">
        <f t="shared" si="43"/>
        <v>0</v>
      </c>
      <c r="Z183" s="1">
        <f t="shared" si="34"/>
        <v>0</v>
      </c>
      <c r="AA183" s="1">
        <f t="shared" si="30"/>
        <v>0</v>
      </c>
      <c r="AB183" s="1">
        <f t="shared" si="31"/>
        <v>0</v>
      </c>
      <c r="AC183" s="1">
        <f t="shared" si="32"/>
        <v>9.6657290646102632E-4</v>
      </c>
      <c r="AD183" s="1" t="str">
        <f t="shared" si="35"/>
        <v>MARESCAL SARL</v>
      </c>
      <c r="AE183" s="1" t="str">
        <f t="shared" si="36"/>
        <v>3319</v>
      </c>
      <c r="AF183" s="3">
        <f>Q183*Feuil2!$B$3</f>
        <v>165.04628304821151</v>
      </c>
      <c r="AG183" s="3">
        <f>R183*Feuil2!$C$3</f>
        <v>46.228080263046955</v>
      </c>
      <c r="AH183" s="3">
        <f>S183*Feuil2!$D$3</f>
        <v>85.374900709460618</v>
      </c>
      <c r="AI183" s="3">
        <f>T183*Feuil2!$E$2</f>
        <v>12.041280167048146</v>
      </c>
      <c r="AJ183" s="3">
        <f>U183*Feuil2!$F$3</f>
        <v>0</v>
      </c>
      <c r="AK183" s="3">
        <f>V183*Feuil2!$G$3</f>
        <v>90.358425333913573</v>
      </c>
      <c r="AL183" s="3">
        <f>W183*Feuil2!$H$3</f>
        <v>6.5130511890366796</v>
      </c>
      <c r="AM183" s="3">
        <f>X183*Feuil2!$I$2</f>
        <v>0</v>
      </c>
      <c r="AN183" s="3">
        <f>Y183*Feuil2!$J$3</f>
        <v>0</v>
      </c>
      <c r="AO183" s="3">
        <f>Z183*Feuil2!$K$3</f>
        <v>0</v>
      </c>
      <c r="AP183" s="3">
        <f>AA183*Feuil2!$L$3</f>
        <v>0</v>
      </c>
      <c r="AQ183" s="3">
        <f>AB183*Feuil2!$M$3</f>
        <v>0</v>
      </c>
      <c r="AR183" s="3">
        <f>AC183*Feuil2!$N$3</f>
        <v>404.69100786953641</v>
      </c>
    </row>
    <row r="184" spans="1:44" x14ac:dyDescent="0.35">
      <c r="A184" t="s">
        <v>369</v>
      </c>
      <c r="B184" t="s">
        <v>370</v>
      </c>
      <c r="C184">
        <v>8</v>
      </c>
      <c r="D184">
        <v>0</v>
      </c>
      <c r="E184">
        <v>151</v>
      </c>
      <c r="F184">
        <v>0</v>
      </c>
      <c r="G184">
        <v>85</v>
      </c>
      <c r="H184">
        <v>0</v>
      </c>
      <c r="I184">
        <v>28</v>
      </c>
      <c r="J184">
        <v>0</v>
      </c>
      <c r="K184">
        <v>49</v>
      </c>
      <c r="L184">
        <v>40</v>
      </c>
      <c r="M184">
        <v>0</v>
      </c>
      <c r="N184">
        <v>0</v>
      </c>
      <c r="O184">
        <v>361</v>
      </c>
      <c r="Q184" s="1">
        <f>C184/$C$434</f>
        <v>1.9748697820237479E-4</v>
      </c>
      <c r="R184" s="1">
        <f t="shared" si="33"/>
        <v>0</v>
      </c>
      <c r="S184" s="1">
        <f t="shared" si="37"/>
        <v>5.1257680165653959E-3</v>
      </c>
      <c r="T184" s="1">
        <f t="shared" si="38"/>
        <v>0</v>
      </c>
      <c r="U184" s="1">
        <f t="shared" si="39"/>
        <v>4.0518638573743921E-3</v>
      </c>
      <c r="V184" s="1">
        <f t="shared" si="40"/>
        <v>0</v>
      </c>
      <c r="W184" s="1">
        <f t="shared" si="41"/>
        <v>6.26987325899055E-4</v>
      </c>
      <c r="X184" s="1">
        <f t="shared" si="42"/>
        <v>0</v>
      </c>
      <c r="Y184" s="1">
        <f t="shared" si="43"/>
        <v>1.254062907890359E-3</v>
      </c>
      <c r="Z184" s="1">
        <f t="shared" si="34"/>
        <v>1.0150223304912708E-3</v>
      </c>
      <c r="AA184" s="1">
        <f t="shared" si="30"/>
        <v>0</v>
      </c>
      <c r="AB184" s="1">
        <f t="shared" si="31"/>
        <v>0</v>
      </c>
      <c r="AC184" s="1">
        <f t="shared" si="32"/>
        <v>9.5077062461152719E-4</v>
      </c>
      <c r="AD184" s="1" t="str">
        <f t="shared" si="35"/>
        <v>DL AUTO</v>
      </c>
      <c r="AE184" s="1" t="str">
        <f t="shared" si="36"/>
        <v>3394</v>
      </c>
      <c r="AF184" s="3">
        <f>Q184*Feuil2!$B$3</f>
        <v>6.9860860549507517</v>
      </c>
      <c r="AG184" s="3">
        <f>R184*Feuil2!$C$3</f>
        <v>0</v>
      </c>
      <c r="AH184" s="3">
        <f>S184*Feuil2!$D$3</f>
        <v>201.43140636138364</v>
      </c>
      <c r="AI184" s="3">
        <f>T184*Feuil2!$E$2</f>
        <v>0</v>
      </c>
      <c r="AJ184" s="3">
        <f>U184*Feuil2!$F$3</f>
        <v>103.51863857374393</v>
      </c>
      <c r="AK184" s="3">
        <f>V184*Feuil2!$G$3</f>
        <v>0</v>
      </c>
      <c r="AL184" s="3">
        <f>W184*Feuil2!$H$3</f>
        <v>22.795679161628374</v>
      </c>
      <c r="AM184" s="3">
        <f>X184*Feuil2!$I$2</f>
        <v>0</v>
      </c>
      <c r="AN184" s="3">
        <f>Y184*Feuil2!$J$3</f>
        <v>52.987719397026083</v>
      </c>
      <c r="AO184" s="3">
        <f>Z184*Feuil2!$K$3</f>
        <v>40.892935444579784</v>
      </c>
      <c r="AP184" s="3">
        <f>AA184*Feuil2!$L$3</f>
        <v>0</v>
      </c>
      <c r="AQ184" s="3">
        <f>AB184*Feuil2!$M$3</f>
        <v>0</v>
      </c>
      <c r="AR184" s="3">
        <f>AC184*Feuil2!$N$3</f>
        <v>398.07480610600174</v>
      </c>
    </row>
    <row r="185" spans="1:44" x14ac:dyDescent="0.35">
      <c r="A185" t="s">
        <v>371</v>
      </c>
      <c r="B185" t="s">
        <v>372</v>
      </c>
      <c r="C185">
        <v>52</v>
      </c>
      <c r="D185">
        <v>0</v>
      </c>
      <c r="E185">
        <v>81</v>
      </c>
      <c r="F185">
        <v>0</v>
      </c>
      <c r="G185">
        <v>102</v>
      </c>
      <c r="H185">
        <v>95</v>
      </c>
      <c r="I185">
        <v>0</v>
      </c>
      <c r="J185">
        <v>0</v>
      </c>
      <c r="K185">
        <v>0</v>
      </c>
      <c r="L185">
        <v>29</v>
      </c>
      <c r="M185">
        <v>0</v>
      </c>
      <c r="N185">
        <v>0</v>
      </c>
      <c r="O185">
        <v>359</v>
      </c>
      <c r="Q185" s="1">
        <f>C185/$C$434</f>
        <v>1.2836653583154362E-3</v>
      </c>
      <c r="R185" s="1">
        <f t="shared" si="33"/>
        <v>0</v>
      </c>
      <c r="S185" s="1">
        <f t="shared" si="37"/>
        <v>2.7495841678264708E-3</v>
      </c>
      <c r="T185" s="1">
        <f t="shared" si="38"/>
        <v>0</v>
      </c>
      <c r="U185" s="1">
        <f t="shared" si="39"/>
        <v>4.8622366288492711E-3</v>
      </c>
      <c r="V185" s="1">
        <f t="shared" si="40"/>
        <v>3.1801292136712082E-3</v>
      </c>
      <c r="W185" s="1">
        <f t="shared" si="41"/>
        <v>0</v>
      </c>
      <c r="X185" s="1">
        <f t="shared" si="42"/>
        <v>0</v>
      </c>
      <c r="Y185" s="1">
        <f t="shared" si="43"/>
        <v>0</v>
      </c>
      <c r="Z185" s="1">
        <f t="shared" si="34"/>
        <v>7.3589118960617139E-4</v>
      </c>
      <c r="AA185" s="1">
        <f t="shared" si="30"/>
        <v>0</v>
      </c>
      <c r="AB185" s="1">
        <f t="shared" si="31"/>
        <v>0</v>
      </c>
      <c r="AC185" s="1">
        <f t="shared" si="32"/>
        <v>9.4550319732836089E-4</v>
      </c>
      <c r="AD185" s="1" t="str">
        <f t="shared" si="35"/>
        <v>DUFOUR SARL AGENT CITROEN</v>
      </c>
      <c r="AE185" s="1" t="str">
        <f t="shared" si="36"/>
        <v>62919</v>
      </c>
      <c r="AF185" s="3">
        <f>Q185*Feuil2!$B$3</f>
        <v>45.409559357179887</v>
      </c>
      <c r="AG185" s="3">
        <f>R185*Feuil2!$C$3</f>
        <v>0</v>
      </c>
      <c r="AH185" s="3">
        <f>S185*Feuil2!$D$3</f>
        <v>108.05260871041109</v>
      </c>
      <c r="AI185" s="3">
        <f>T185*Feuil2!$E$2</f>
        <v>0</v>
      </c>
      <c r="AJ185" s="3">
        <f>U185*Feuil2!$F$3</f>
        <v>124.22236628849272</v>
      </c>
      <c r="AK185" s="3">
        <f>V185*Feuil2!$G$3</f>
        <v>128.12015532420583</v>
      </c>
      <c r="AL185" s="3">
        <f>W185*Feuil2!$H$3</f>
        <v>0</v>
      </c>
      <c r="AM185" s="3">
        <f>X185*Feuil2!$I$2</f>
        <v>0</v>
      </c>
      <c r="AN185" s="3">
        <f>Y185*Feuil2!$J$3</f>
        <v>0</v>
      </c>
      <c r="AO185" s="3">
        <f>Z185*Feuil2!$K$3</f>
        <v>29.647378197320343</v>
      </c>
      <c r="AP185" s="3">
        <f>AA185*Feuil2!$L$3</f>
        <v>0</v>
      </c>
      <c r="AQ185" s="3">
        <f>AB185*Feuil2!$M$3</f>
        <v>0</v>
      </c>
      <c r="AR185" s="3">
        <f>AC185*Feuil2!$N$3</f>
        <v>395.86940551815684</v>
      </c>
    </row>
    <row r="186" spans="1:44" x14ac:dyDescent="0.35">
      <c r="A186" t="s">
        <v>373</v>
      </c>
      <c r="B186" t="s">
        <v>374</v>
      </c>
      <c r="C186">
        <v>0</v>
      </c>
      <c r="D186">
        <v>0</v>
      </c>
      <c r="E186">
        <v>34</v>
      </c>
      <c r="F186">
        <v>0</v>
      </c>
      <c r="G186">
        <v>58</v>
      </c>
      <c r="H186">
        <v>17</v>
      </c>
      <c r="I186">
        <v>17</v>
      </c>
      <c r="J186">
        <v>131</v>
      </c>
      <c r="K186">
        <v>25</v>
      </c>
      <c r="L186">
        <v>0</v>
      </c>
      <c r="M186">
        <v>65</v>
      </c>
      <c r="N186">
        <v>0</v>
      </c>
      <c r="O186">
        <v>347</v>
      </c>
      <c r="Q186" s="1">
        <f>C186/$C$434</f>
        <v>0</v>
      </c>
      <c r="R186" s="1">
        <f t="shared" si="33"/>
        <v>0</v>
      </c>
      <c r="S186" s="1">
        <f t="shared" si="37"/>
        <v>1.1541464408160495E-3</v>
      </c>
      <c r="T186" s="1">
        <f t="shared" si="38"/>
        <v>0</v>
      </c>
      <c r="U186" s="1">
        <f t="shared" si="39"/>
        <v>2.7648012203260559E-3</v>
      </c>
      <c r="V186" s="1">
        <f t="shared" si="40"/>
        <v>5.6907575402537409E-4</v>
      </c>
      <c r="W186" s="1">
        <f t="shared" si="41"/>
        <v>3.8067087643871197E-4</v>
      </c>
      <c r="X186" s="1">
        <f t="shared" si="42"/>
        <v>6.9986109627096912E-3</v>
      </c>
      <c r="Y186" s="1">
        <f t="shared" si="43"/>
        <v>6.3982801422977507E-4</v>
      </c>
      <c r="Z186" s="1">
        <f t="shared" si="34"/>
        <v>0</v>
      </c>
      <c r="AA186" s="1">
        <f t="shared" si="30"/>
        <v>1.6273189294745013E-3</v>
      </c>
      <c r="AB186" s="1">
        <f t="shared" si="31"/>
        <v>0</v>
      </c>
      <c r="AC186" s="1">
        <f t="shared" si="32"/>
        <v>9.1389863362936275E-4</v>
      </c>
      <c r="AD186" s="1" t="str">
        <f t="shared" si="35"/>
        <v>SMT S.A.S.U.</v>
      </c>
      <c r="AE186" s="1" t="str">
        <f t="shared" si="36"/>
        <v>3630</v>
      </c>
      <c r="AF186" s="3">
        <f>Q186*Feuil2!$B$3</f>
        <v>0</v>
      </c>
      <c r="AG186" s="3">
        <f>R186*Feuil2!$C$3</f>
        <v>0</v>
      </c>
      <c r="AH186" s="3">
        <f>S186*Feuil2!$D$3</f>
        <v>45.355416001900949</v>
      </c>
      <c r="AI186" s="3">
        <f>T186*Feuil2!$E$2</f>
        <v>0</v>
      </c>
      <c r="AJ186" s="3">
        <f>U186*Feuil2!$F$3</f>
        <v>70.636247497378207</v>
      </c>
      <c r="AK186" s="3">
        <f>V186*Feuil2!$G$3</f>
        <v>22.926764636963146</v>
      </c>
      <c r="AL186" s="3">
        <f>W186*Feuil2!$H$3</f>
        <v>13.840233776702943</v>
      </c>
      <c r="AM186" s="3">
        <f>X186*Feuil2!$I$2</f>
        <v>149.50432738540442</v>
      </c>
      <c r="AN186" s="3">
        <f>Y186*Feuil2!$J$3</f>
        <v>27.034550712768411</v>
      </c>
      <c r="AO186" s="3">
        <f>Z186*Feuil2!$K$3</f>
        <v>0</v>
      </c>
      <c r="AP186" s="3">
        <f>AA186*Feuil2!$L$3</f>
        <v>59.165215431990596</v>
      </c>
      <c r="AQ186" s="3">
        <f>AB186*Feuil2!$M$3</f>
        <v>0</v>
      </c>
      <c r="AR186" s="3">
        <f>AC186*Feuil2!$N$3</f>
        <v>382.63700199108757</v>
      </c>
    </row>
    <row r="187" spans="1:44" x14ac:dyDescent="0.35">
      <c r="A187" t="s">
        <v>375</v>
      </c>
      <c r="B187" t="s">
        <v>376</v>
      </c>
      <c r="C187">
        <v>123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222</v>
      </c>
      <c r="N187">
        <v>0</v>
      </c>
      <c r="O187">
        <v>345</v>
      </c>
      <c r="Q187" s="1">
        <f>C187/$C$434</f>
        <v>3.0363622898615123E-3</v>
      </c>
      <c r="R187" s="1">
        <f t="shared" si="33"/>
        <v>0</v>
      </c>
      <c r="S187" s="1">
        <f t="shared" si="37"/>
        <v>0</v>
      </c>
      <c r="T187" s="1">
        <f t="shared" si="38"/>
        <v>0</v>
      </c>
      <c r="U187" s="1">
        <f t="shared" si="39"/>
        <v>0</v>
      </c>
      <c r="V187" s="1">
        <f t="shared" si="40"/>
        <v>0</v>
      </c>
      <c r="W187" s="1">
        <f t="shared" si="41"/>
        <v>0</v>
      </c>
      <c r="X187" s="1">
        <f t="shared" si="42"/>
        <v>0</v>
      </c>
      <c r="Y187" s="1">
        <f t="shared" si="43"/>
        <v>0</v>
      </c>
      <c r="Z187" s="1">
        <f t="shared" si="34"/>
        <v>0</v>
      </c>
      <c r="AA187" s="1">
        <f t="shared" si="30"/>
        <v>5.5579200360513729E-3</v>
      </c>
      <c r="AB187" s="1">
        <f t="shared" si="31"/>
        <v>0</v>
      </c>
      <c r="AC187" s="1">
        <f t="shared" si="32"/>
        <v>9.0863120634619634E-4</v>
      </c>
      <c r="AD187" s="1" t="str">
        <f t="shared" si="35"/>
        <v>LEBEDEL AUTOMOBILES - St-James</v>
      </c>
      <c r="AE187" s="1" t="str">
        <f t="shared" si="36"/>
        <v>2179</v>
      </c>
      <c r="AF187" s="3">
        <f>Q187*Feuil2!$B$3</f>
        <v>107.4110730948678</v>
      </c>
      <c r="AG187" s="3">
        <f>R187*Feuil2!$C$3</f>
        <v>0</v>
      </c>
      <c r="AH187" s="3">
        <f>S187*Feuil2!$D$3</f>
        <v>0</v>
      </c>
      <c r="AI187" s="3">
        <f>T187*Feuil2!$E$2</f>
        <v>0</v>
      </c>
      <c r="AJ187" s="3">
        <f>U187*Feuil2!$F$3</f>
        <v>0</v>
      </c>
      <c r="AK187" s="3">
        <f>V187*Feuil2!$G$3</f>
        <v>0</v>
      </c>
      <c r="AL187" s="3">
        <f>W187*Feuil2!$H$3</f>
        <v>0</v>
      </c>
      <c r="AM187" s="3">
        <f>X187*Feuil2!$I$2</f>
        <v>0</v>
      </c>
      <c r="AN187" s="3">
        <f>Y187*Feuil2!$J$3</f>
        <v>0</v>
      </c>
      <c r="AO187" s="3">
        <f>Z187*Feuil2!$K$3</f>
        <v>0</v>
      </c>
      <c r="AP187" s="3">
        <f>AA187*Feuil2!$L$3</f>
        <v>202.07196655233707</v>
      </c>
      <c r="AQ187" s="3">
        <f>AB187*Feuil2!$M$3</f>
        <v>0</v>
      </c>
      <c r="AR187" s="3">
        <f>AC187*Feuil2!$N$3</f>
        <v>380.43160140324267</v>
      </c>
    </row>
    <row r="188" spans="1:44" x14ac:dyDescent="0.35">
      <c r="A188" t="s">
        <v>377</v>
      </c>
      <c r="B188" t="s">
        <v>378</v>
      </c>
      <c r="C188">
        <v>70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173</v>
      </c>
      <c r="L188">
        <v>56</v>
      </c>
      <c r="M188">
        <v>45</v>
      </c>
      <c r="N188">
        <v>0</v>
      </c>
      <c r="O188">
        <v>344</v>
      </c>
      <c r="Q188" s="1">
        <f>C188/$C$434</f>
        <v>1.7280110592707793E-3</v>
      </c>
      <c r="R188" s="1">
        <f t="shared" si="33"/>
        <v>0</v>
      </c>
      <c r="S188" s="1">
        <f t="shared" si="37"/>
        <v>0</v>
      </c>
      <c r="T188" s="1">
        <f t="shared" si="38"/>
        <v>0</v>
      </c>
      <c r="U188" s="1">
        <f t="shared" si="39"/>
        <v>0</v>
      </c>
      <c r="V188" s="1">
        <f t="shared" si="40"/>
        <v>0</v>
      </c>
      <c r="W188" s="1">
        <f t="shared" si="41"/>
        <v>0</v>
      </c>
      <c r="X188" s="1">
        <f t="shared" si="42"/>
        <v>0</v>
      </c>
      <c r="Y188" s="1">
        <f t="shared" si="43"/>
        <v>4.4276098584700432E-3</v>
      </c>
      <c r="Z188" s="1">
        <f t="shared" si="34"/>
        <v>1.4210312626877792E-3</v>
      </c>
      <c r="AA188" s="1">
        <f t="shared" si="30"/>
        <v>1.1266054127131162E-3</v>
      </c>
      <c r="AB188" s="1">
        <f t="shared" si="31"/>
        <v>0</v>
      </c>
      <c r="AC188" s="1">
        <f t="shared" si="32"/>
        <v>9.0599749270461319E-4</v>
      </c>
      <c r="AD188" s="1" t="str">
        <f t="shared" si="35"/>
        <v>GALLOT AUTOMOBILES</v>
      </c>
      <c r="AE188" s="1" t="str">
        <f t="shared" si="36"/>
        <v>2021</v>
      </c>
      <c r="AF188" s="3">
        <f>Q188*Feuil2!$B$3</f>
        <v>61.12825298081907</v>
      </c>
      <c r="AG188" s="3">
        <f>R188*Feuil2!$C$3</f>
        <v>0</v>
      </c>
      <c r="AH188" s="3">
        <f>S188*Feuil2!$D$3</f>
        <v>0</v>
      </c>
      <c r="AI188" s="3">
        <f>T188*Feuil2!$E$2</f>
        <v>0</v>
      </c>
      <c r="AJ188" s="3">
        <f>U188*Feuil2!$F$3</f>
        <v>0</v>
      </c>
      <c r="AK188" s="3">
        <f>V188*Feuil2!$G$3</f>
        <v>0</v>
      </c>
      <c r="AL188" s="3">
        <f>W188*Feuil2!$H$3</f>
        <v>0</v>
      </c>
      <c r="AM188" s="3">
        <f>X188*Feuil2!$I$2</f>
        <v>0</v>
      </c>
      <c r="AN188" s="3">
        <f>Y188*Feuil2!$J$3</f>
        <v>187.07909093235739</v>
      </c>
      <c r="AO188" s="3">
        <f>Z188*Feuil2!$K$3</f>
        <v>57.250109622411699</v>
      </c>
      <c r="AP188" s="3">
        <f>AA188*Feuil2!$L$3</f>
        <v>40.960533760608875</v>
      </c>
      <c r="AQ188" s="3">
        <f>AB188*Feuil2!$M$3</f>
        <v>0</v>
      </c>
      <c r="AR188" s="3">
        <f>AC188*Feuil2!$N$3</f>
        <v>379.32890110932021</v>
      </c>
    </row>
    <row r="189" spans="1:44" x14ac:dyDescent="0.35">
      <c r="A189" t="s">
        <v>379</v>
      </c>
      <c r="B189" t="s">
        <v>380</v>
      </c>
      <c r="C189">
        <v>0</v>
      </c>
      <c r="D189">
        <v>87</v>
      </c>
      <c r="E189">
        <v>0</v>
      </c>
      <c r="F189">
        <v>0</v>
      </c>
      <c r="G189">
        <v>0</v>
      </c>
      <c r="H189">
        <v>0</v>
      </c>
      <c r="I189">
        <v>193</v>
      </c>
      <c r="J189">
        <v>0</v>
      </c>
      <c r="K189">
        <v>0</v>
      </c>
      <c r="L189">
        <v>61</v>
      </c>
      <c r="M189">
        <v>0</v>
      </c>
      <c r="N189">
        <v>0</v>
      </c>
      <c r="O189">
        <v>341</v>
      </c>
      <c r="Q189" s="1">
        <f>C189/$C$434</f>
        <v>0</v>
      </c>
      <c r="R189" s="1">
        <f t="shared" si="33"/>
        <v>3.667481662591687E-3</v>
      </c>
      <c r="S189" s="1">
        <f t="shared" si="37"/>
        <v>0</v>
      </c>
      <c r="T189" s="1">
        <f t="shared" si="38"/>
        <v>0</v>
      </c>
      <c r="U189" s="1">
        <f t="shared" si="39"/>
        <v>0</v>
      </c>
      <c r="V189" s="1">
        <f t="shared" si="40"/>
        <v>0</v>
      </c>
      <c r="W189" s="1">
        <f t="shared" si="41"/>
        <v>4.3217340678042004E-3</v>
      </c>
      <c r="X189" s="1">
        <f t="shared" si="42"/>
        <v>0</v>
      </c>
      <c r="Y189" s="1">
        <f t="shared" si="43"/>
        <v>0</v>
      </c>
      <c r="Z189" s="1">
        <f t="shared" si="34"/>
        <v>1.547909053999188E-3</v>
      </c>
      <c r="AA189" s="1">
        <f t="shared" si="30"/>
        <v>0</v>
      </c>
      <c r="AB189" s="1">
        <f t="shared" si="31"/>
        <v>0</v>
      </c>
      <c r="AC189" s="1">
        <f t="shared" si="32"/>
        <v>8.9809635177986373E-4</v>
      </c>
      <c r="AD189" s="1" t="str">
        <f t="shared" si="35"/>
        <v>SEMV MIDAS DIVES SUR MER</v>
      </c>
      <c r="AE189" s="1" t="str">
        <f t="shared" si="36"/>
        <v>3771</v>
      </c>
      <c r="AF189" s="3">
        <f>Q189*Feuil2!$B$3</f>
        <v>0</v>
      </c>
      <c r="AG189" s="3">
        <f>R189*Feuil2!$C$3</f>
        <v>129.73687041564793</v>
      </c>
      <c r="AH189" s="3">
        <f>S189*Feuil2!$D$3</f>
        <v>0</v>
      </c>
      <c r="AI189" s="3">
        <f>T189*Feuil2!$E$2</f>
        <v>0</v>
      </c>
      <c r="AJ189" s="3">
        <f>U189*Feuil2!$F$3</f>
        <v>0</v>
      </c>
      <c r="AK189" s="3">
        <f>V189*Feuil2!$G$3</f>
        <v>0</v>
      </c>
      <c r="AL189" s="3">
        <f>W189*Feuil2!$H$3</f>
        <v>157.12735993550987</v>
      </c>
      <c r="AM189" s="3">
        <f>X189*Feuil2!$I$2</f>
        <v>0</v>
      </c>
      <c r="AN189" s="3">
        <f>Y189*Feuil2!$J$3</f>
        <v>0</v>
      </c>
      <c r="AO189" s="3">
        <f>Z189*Feuil2!$K$3</f>
        <v>62.361726552984166</v>
      </c>
      <c r="AP189" s="3">
        <f>AA189*Feuil2!$L$3</f>
        <v>0</v>
      </c>
      <c r="AQ189" s="3">
        <f>AB189*Feuil2!$M$3</f>
        <v>0</v>
      </c>
      <c r="AR189" s="3">
        <f>AC189*Feuil2!$N$3</f>
        <v>376.02080022755291</v>
      </c>
    </row>
    <row r="190" spans="1:44" x14ac:dyDescent="0.35">
      <c r="A190" t="s">
        <v>381</v>
      </c>
      <c r="B190" t="s">
        <v>382</v>
      </c>
      <c r="C190">
        <v>0</v>
      </c>
      <c r="D190">
        <v>38</v>
      </c>
      <c r="E190">
        <v>67</v>
      </c>
      <c r="F190">
        <v>0</v>
      </c>
      <c r="G190">
        <v>0</v>
      </c>
      <c r="H190">
        <v>0</v>
      </c>
      <c r="I190">
        <v>0</v>
      </c>
      <c r="J190">
        <v>78</v>
      </c>
      <c r="K190">
        <v>148</v>
      </c>
      <c r="L190">
        <v>6</v>
      </c>
      <c r="M190">
        <v>0</v>
      </c>
      <c r="N190">
        <v>0</v>
      </c>
      <c r="O190">
        <v>337</v>
      </c>
      <c r="Q190" s="1">
        <f>C190/$C$434</f>
        <v>0</v>
      </c>
      <c r="R190" s="1">
        <f t="shared" si="33"/>
        <v>1.6018885422814265E-3</v>
      </c>
      <c r="S190" s="1">
        <f t="shared" si="37"/>
        <v>2.2743473980786858E-3</v>
      </c>
      <c r="T190" s="1">
        <f t="shared" si="38"/>
        <v>0</v>
      </c>
      <c r="U190" s="1">
        <f t="shared" si="39"/>
        <v>0</v>
      </c>
      <c r="V190" s="1">
        <f t="shared" si="40"/>
        <v>0</v>
      </c>
      <c r="W190" s="1">
        <f t="shared" si="41"/>
        <v>0</v>
      </c>
      <c r="X190" s="1">
        <f t="shared" si="42"/>
        <v>4.1671118709263807E-3</v>
      </c>
      <c r="Y190" s="1">
        <f t="shared" si="43"/>
        <v>3.787781844240268E-3</v>
      </c>
      <c r="Z190" s="1">
        <f t="shared" si="34"/>
        <v>1.5225334957369061E-4</v>
      </c>
      <c r="AA190" s="1">
        <f t="shared" si="30"/>
        <v>0</v>
      </c>
      <c r="AB190" s="1">
        <f t="shared" si="31"/>
        <v>0</v>
      </c>
      <c r="AC190" s="1">
        <f t="shared" si="32"/>
        <v>8.8756149721353102E-4</v>
      </c>
      <c r="AD190" s="1" t="str">
        <f t="shared" si="35"/>
        <v>SAINT DESIR</v>
      </c>
      <c r="AE190" s="1" t="str">
        <f t="shared" si="36"/>
        <v>5003</v>
      </c>
      <c r="AF190" s="3">
        <f>Q190*Feuil2!$B$3</f>
        <v>0</v>
      </c>
      <c r="AG190" s="3">
        <f>R190*Feuil2!$C$3</f>
        <v>56.666679032122076</v>
      </c>
      <c r="AH190" s="3">
        <f>S190*Feuil2!$D$3</f>
        <v>89.376849180216581</v>
      </c>
      <c r="AI190" s="3">
        <f>T190*Feuil2!$E$2</f>
        <v>0</v>
      </c>
      <c r="AJ190" s="3">
        <f>U190*Feuil2!$F$3</f>
        <v>0</v>
      </c>
      <c r="AK190" s="3">
        <f>V190*Feuil2!$G$3</f>
        <v>0</v>
      </c>
      <c r="AL190" s="3">
        <f>W190*Feuil2!$H$3</f>
        <v>0</v>
      </c>
      <c r="AM190" s="3">
        <f>X190*Feuil2!$I$2</f>
        <v>89.017843786729344</v>
      </c>
      <c r="AN190" s="3">
        <f>Y190*Feuil2!$J$3</f>
        <v>160.04454021958898</v>
      </c>
      <c r="AO190" s="3">
        <f>Z190*Feuil2!$K$3</f>
        <v>6.1339403166869673</v>
      </c>
      <c r="AP190" s="3">
        <f>AA190*Feuil2!$L$3</f>
        <v>0</v>
      </c>
      <c r="AQ190" s="3">
        <f>AB190*Feuil2!$M$3</f>
        <v>0</v>
      </c>
      <c r="AR190" s="3">
        <f>AC190*Feuil2!$N$3</f>
        <v>371.60999905186316</v>
      </c>
    </row>
    <row r="191" spans="1:44" x14ac:dyDescent="0.35">
      <c r="A191" t="s">
        <v>383</v>
      </c>
      <c r="B191" t="s">
        <v>384</v>
      </c>
      <c r="C191">
        <v>0</v>
      </c>
      <c r="D191">
        <v>19</v>
      </c>
      <c r="E191">
        <v>36</v>
      </c>
      <c r="F191">
        <v>23</v>
      </c>
      <c r="G191">
        <v>6</v>
      </c>
      <c r="H191">
        <v>14</v>
      </c>
      <c r="I191">
        <v>96</v>
      </c>
      <c r="J191">
        <v>0</v>
      </c>
      <c r="K191">
        <v>0</v>
      </c>
      <c r="L191">
        <v>138</v>
      </c>
      <c r="M191">
        <v>0</v>
      </c>
      <c r="N191">
        <v>0</v>
      </c>
      <c r="O191">
        <v>332</v>
      </c>
      <c r="Q191" s="1">
        <f>C191/$C$434</f>
        <v>0</v>
      </c>
      <c r="R191" s="1">
        <f t="shared" si="33"/>
        <v>8.0094427114071323E-4</v>
      </c>
      <c r="S191" s="1">
        <f t="shared" si="37"/>
        <v>1.2220374079228759E-3</v>
      </c>
      <c r="T191" s="1">
        <f t="shared" si="38"/>
        <v>9.2358350399550251E-4</v>
      </c>
      <c r="U191" s="1">
        <f t="shared" si="39"/>
        <v>2.8601391934407472E-4</v>
      </c>
      <c r="V191" s="1">
        <f t="shared" si="40"/>
        <v>4.6865062096207276E-4</v>
      </c>
      <c r="W191" s="1">
        <f t="shared" si="41"/>
        <v>2.1496708316539031E-3</v>
      </c>
      <c r="X191" s="1">
        <f t="shared" si="42"/>
        <v>0</v>
      </c>
      <c r="Y191" s="1">
        <f t="shared" si="43"/>
        <v>0</v>
      </c>
      <c r="Z191" s="1">
        <f t="shared" si="34"/>
        <v>3.5018270401948842E-3</v>
      </c>
      <c r="AA191" s="1">
        <f t="shared" si="30"/>
        <v>0</v>
      </c>
      <c r="AB191" s="1">
        <f t="shared" si="31"/>
        <v>0</v>
      </c>
      <c r="AC191" s="1">
        <f t="shared" si="32"/>
        <v>8.7439292900561504E-4</v>
      </c>
      <c r="AD191" s="1" t="str">
        <f t="shared" si="35"/>
        <v>BOULAY AUTOMOBILES</v>
      </c>
      <c r="AE191" s="1" t="str">
        <f t="shared" si="36"/>
        <v>3274</v>
      </c>
      <c r="AF191" s="3">
        <f>Q191*Feuil2!$B$3</f>
        <v>0</v>
      </c>
      <c r="AG191" s="3">
        <f>R191*Feuil2!$C$3</f>
        <v>28.333339516061038</v>
      </c>
      <c r="AH191" s="3">
        <f>S191*Feuil2!$D$3</f>
        <v>48.023381649071595</v>
      </c>
      <c r="AI191" s="3">
        <f>T191*Feuil2!$E$2</f>
        <v>34.618680480263421</v>
      </c>
      <c r="AJ191" s="3">
        <f>U191*Feuil2!$F$3</f>
        <v>7.3071980169701591</v>
      </c>
      <c r="AK191" s="3">
        <f>V191*Feuil2!$G$3</f>
        <v>18.880864995146119</v>
      </c>
      <c r="AL191" s="3">
        <f>W191*Feuil2!$H$3</f>
        <v>78.156614268440151</v>
      </c>
      <c r="AM191" s="3">
        <f>X191*Feuil2!$I$2</f>
        <v>0</v>
      </c>
      <c r="AN191" s="3">
        <f>Y191*Feuil2!$J$3</f>
        <v>0</v>
      </c>
      <c r="AO191" s="3">
        <f>Z191*Feuil2!$K$3</f>
        <v>141.08062728380025</v>
      </c>
      <c r="AP191" s="3">
        <f>AA191*Feuil2!$L$3</f>
        <v>0</v>
      </c>
      <c r="AQ191" s="3">
        <f>AB191*Feuil2!$M$3</f>
        <v>0</v>
      </c>
      <c r="AR191" s="3">
        <f>AC191*Feuil2!$N$3</f>
        <v>366.09649758225089</v>
      </c>
    </row>
    <row r="192" spans="1:44" x14ac:dyDescent="0.35">
      <c r="A192" t="s">
        <v>385</v>
      </c>
      <c r="B192" t="s">
        <v>386</v>
      </c>
      <c r="C192">
        <v>83</v>
      </c>
      <c r="D192">
        <v>21</v>
      </c>
      <c r="E192">
        <v>0</v>
      </c>
      <c r="F192">
        <v>32</v>
      </c>
      <c r="G192">
        <v>0</v>
      </c>
      <c r="H192">
        <v>36</v>
      </c>
      <c r="I192">
        <v>69</v>
      </c>
      <c r="J192">
        <v>1</v>
      </c>
      <c r="K192">
        <v>39</v>
      </c>
      <c r="L192">
        <v>46</v>
      </c>
      <c r="M192">
        <v>0</v>
      </c>
      <c r="N192">
        <v>0</v>
      </c>
      <c r="O192">
        <v>327</v>
      </c>
      <c r="Q192" s="1">
        <f>C192/$C$434</f>
        <v>2.0489273988496385E-3</v>
      </c>
      <c r="R192" s="1">
        <f t="shared" si="33"/>
        <v>8.8525419441868312E-4</v>
      </c>
      <c r="S192" s="1">
        <f t="shared" si="37"/>
        <v>0</v>
      </c>
      <c r="T192" s="1">
        <f t="shared" si="38"/>
        <v>1.2849857446893948E-3</v>
      </c>
      <c r="U192" s="1">
        <f t="shared" si="39"/>
        <v>0</v>
      </c>
      <c r="V192" s="1">
        <f t="shared" si="40"/>
        <v>1.2051015967596158E-3</v>
      </c>
      <c r="W192" s="1">
        <f t="shared" si="41"/>
        <v>1.5450759102512428E-3</v>
      </c>
      <c r="X192" s="1">
        <f t="shared" si="42"/>
        <v>5.3424511165722836E-5</v>
      </c>
      <c r="Y192" s="1">
        <f t="shared" si="43"/>
        <v>9.981317021984491E-4</v>
      </c>
      <c r="Z192" s="1">
        <f t="shared" si="34"/>
        <v>1.1672756800649613E-3</v>
      </c>
      <c r="AA192" s="1">
        <f t="shared" si="30"/>
        <v>0</v>
      </c>
      <c r="AB192" s="1">
        <f t="shared" si="31"/>
        <v>0</v>
      </c>
      <c r="AC192" s="1">
        <f t="shared" si="32"/>
        <v>8.6122436079769918E-4</v>
      </c>
      <c r="AD192" s="1" t="str">
        <f t="shared" si="35"/>
        <v>VASSY AUTOMOBILE  PEUGEOT</v>
      </c>
      <c r="AE192" s="1" t="str">
        <f t="shared" si="36"/>
        <v>1907</v>
      </c>
      <c r="AF192" s="3">
        <f>Q192*Feuil2!$B$3</f>
        <v>72.480642820114056</v>
      </c>
      <c r="AG192" s="3">
        <f>R192*Feuil2!$C$3</f>
        <v>31.315796307225359</v>
      </c>
      <c r="AH192" s="3">
        <f>S192*Feuil2!$D$3</f>
        <v>0</v>
      </c>
      <c r="AI192" s="3">
        <f>T192*Feuil2!$E$2</f>
        <v>48.165120668192586</v>
      </c>
      <c r="AJ192" s="3">
        <f>U192*Feuil2!$F$3</f>
        <v>0</v>
      </c>
      <c r="AK192" s="3">
        <f>V192*Feuil2!$G$3</f>
        <v>48.550795701804311</v>
      </c>
      <c r="AL192" s="3">
        <f>W192*Feuil2!$H$3</f>
        <v>56.175066505441357</v>
      </c>
      <c r="AM192" s="3">
        <f>X192*Feuil2!$I$2</f>
        <v>1.1412544075221713</v>
      </c>
      <c r="AN192" s="3">
        <f>Y192*Feuil2!$J$3</f>
        <v>42.173899111918722</v>
      </c>
      <c r="AO192" s="3">
        <f>Z192*Feuil2!$K$3</f>
        <v>47.026875761266744</v>
      </c>
      <c r="AP192" s="3">
        <f>AA192*Feuil2!$L$3</f>
        <v>0</v>
      </c>
      <c r="AQ192" s="3">
        <f>AB192*Feuil2!$M$3</f>
        <v>0</v>
      </c>
      <c r="AR192" s="3">
        <f>AC192*Feuil2!$N$3</f>
        <v>360.58299611263868</v>
      </c>
    </row>
    <row r="193" spans="1:44" x14ac:dyDescent="0.35">
      <c r="A193" t="s">
        <v>387</v>
      </c>
      <c r="B193" t="s">
        <v>388</v>
      </c>
      <c r="C193">
        <v>7</v>
      </c>
      <c r="D193">
        <v>68</v>
      </c>
      <c r="E193">
        <v>29</v>
      </c>
      <c r="F193">
        <v>16</v>
      </c>
      <c r="G193">
        <v>40</v>
      </c>
      <c r="H193">
        <v>18</v>
      </c>
      <c r="I193">
        <v>40</v>
      </c>
      <c r="J193">
        <v>0</v>
      </c>
      <c r="K193">
        <v>50</v>
      </c>
      <c r="L193">
        <v>0</v>
      </c>
      <c r="M193">
        <v>57</v>
      </c>
      <c r="N193">
        <v>0</v>
      </c>
      <c r="O193">
        <v>325</v>
      </c>
      <c r="Q193" s="1">
        <f>C193/$C$434</f>
        <v>1.7280110592707794E-4</v>
      </c>
      <c r="R193" s="1">
        <f t="shared" si="33"/>
        <v>2.8665373914509738E-3</v>
      </c>
      <c r="S193" s="1">
        <f t="shared" si="37"/>
        <v>9.8441902304898334E-4</v>
      </c>
      <c r="T193" s="1">
        <f t="shared" si="38"/>
        <v>6.4249287234469739E-4</v>
      </c>
      <c r="U193" s="1">
        <f t="shared" si="39"/>
        <v>1.9067594622938315E-3</v>
      </c>
      <c r="V193" s="1">
        <f t="shared" si="40"/>
        <v>6.0255079837980789E-4</v>
      </c>
      <c r="W193" s="1">
        <f t="shared" si="41"/>
        <v>8.9569617985579288E-4</v>
      </c>
      <c r="X193" s="1">
        <f t="shared" si="42"/>
        <v>0</v>
      </c>
      <c r="Y193" s="1">
        <f t="shared" si="43"/>
        <v>1.2796560284595501E-3</v>
      </c>
      <c r="Z193" s="1">
        <f t="shared" si="34"/>
        <v>0</v>
      </c>
      <c r="AA193" s="1">
        <f t="shared" si="30"/>
        <v>1.4270335227699472E-3</v>
      </c>
      <c r="AB193" s="1">
        <f t="shared" si="31"/>
        <v>0</v>
      </c>
      <c r="AC193" s="1">
        <f t="shared" si="32"/>
        <v>8.5595693351453288E-4</v>
      </c>
      <c r="AD193" s="1" t="str">
        <f t="shared" si="35"/>
        <v>ASL GIBERVILLE</v>
      </c>
      <c r="AE193" s="1" t="str">
        <f t="shared" si="36"/>
        <v>3011</v>
      </c>
      <c r="AF193" s="3">
        <f>Q193*Feuil2!$B$3</f>
        <v>6.1128252980819076</v>
      </c>
      <c r="AG193" s="3">
        <f>R193*Feuil2!$C$3</f>
        <v>101.40353089958688</v>
      </c>
      <c r="AH193" s="3">
        <f>S193*Feuil2!$D$3</f>
        <v>38.685501883974339</v>
      </c>
      <c r="AI193" s="3">
        <f>T193*Feuil2!$E$2</f>
        <v>24.082560334096293</v>
      </c>
      <c r="AJ193" s="3">
        <f>U193*Feuil2!$F$3</f>
        <v>48.714653446467729</v>
      </c>
      <c r="AK193" s="3">
        <f>V193*Feuil2!$G$3</f>
        <v>24.275397850902156</v>
      </c>
      <c r="AL193" s="3">
        <f>W193*Feuil2!$H$3</f>
        <v>32.565255945183395</v>
      </c>
      <c r="AM193" s="3">
        <f>X193*Feuil2!$I$2</f>
        <v>0</v>
      </c>
      <c r="AN193" s="3">
        <f>Y193*Feuil2!$J$3</f>
        <v>54.069101425536822</v>
      </c>
      <c r="AO193" s="3">
        <f>Z193*Feuil2!$K$3</f>
        <v>0</v>
      </c>
      <c r="AP193" s="3">
        <f>AA193*Feuil2!$L$3</f>
        <v>51.883342763437902</v>
      </c>
      <c r="AQ193" s="3">
        <f>AB193*Feuil2!$M$3</f>
        <v>0</v>
      </c>
      <c r="AR193" s="3">
        <f>AC193*Feuil2!$N$3</f>
        <v>358.37759552479383</v>
      </c>
    </row>
    <row r="194" spans="1:44" x14ac:dyDescent="0.35">
      <c r="A194" t="s">
        <v>389</v>
      </c>
      <c r="B194" t="s">
        <v>390</v>
      </c>
      <c r="C194">
        <v>0</v>
      </c>
      <c r="D194">
        <v>38</v>
      </c>
      <c r="E194">
        <v>0</v>
      </c>
      <c r="F194">
        <v>0</v>
      </c>
      <c r="G194">
        <v>0</v>
      </c>
      <c r="H194">
        <v>0</v>
      </c>
      <c r="I194">
        <v>99</v>
      </c>
      <c r="J194">
        <v>0</v>
      </c>
      <c r="K194">
        <v>181</v>
      </c>
      <c r="L194">
        <v>0</v>
      </c>
      <c r="M194">
        <v>0</v>
      </c>
      <c r="N194">
        <v>0</v>
      </c>
      <c r="O194">
        <v>318</v>
      </c>
      <c r="Q194" s="1">
        <f>C194/$C$434</f>
        <v>0</v>
      </c>
      <c r="R194" s="1">
        <f t="shared" si="33"/>
        <v>1.6018885422814265E-3</v>
      </c>
      <c r="S194" s="1">
        <f t="shared" si="37"/>
        <v>0</v>
      </c>
      <c r="T194" s="1">
        <f t="shared" si="38"/>
        <v>0</v>
      </c>
      <c r="U194" s="1">
        <f t="shared" si="39"/>
        <v>0</v>
      </c>
      <c r="V194" s="1">
        <f t="shared" si="40"/>
        <v>0</v>
      </c>
      <c r="W194" s="1">
        <f t="shared" si="41"/>
        <v>2.2168480451430876E-3</v>
      </c>
      <c r="X194" s="1">
        <f t="shared" si="42"/>
        <v>0</v>
      </c>
      <c r="Y194" s="1">
        <f t="shared" si="43"/>
        <v>4.6323548230235712E-3</v>
      </c>
      <c r="Z194" s="1">
        <f t="shared" si="34"/>
        <v>0</v>
      </c>
      <c r="AA194" s="1">
        <f t="shared" si="30"/>
        <v>0</v>
      </c>
      <c r="AB194" s="1">
        <f t="shared" si="31"/>
        <v>0</v>
      </c>
      <c r="AC194" s="1">
        <f t="shared" si="32"/>
        <v>8.375209380234506E-4</v>
      </c>
      <c r="AD194" s="1" t="str">
        <f t="shared" si="35"/>
        <v>DELARCHE VINCENT</v>
      </c>
      <c r="AE194" s="1" t="str">
        <f t="shared" si="36"/>
        <v>65838</v>
      </c>
      <c r="AF194" s="3">
        <f>Q194*Feuil2!$B$3</f>
        <v>0</v>
      </c>
      <c r="AG194" s="3">
        <f>R194*Feuil2!$C$3</f>
        <v>56.666679032122076</v>
      </c>
      <c r="AH194" s="3">
        <f>S194*Feuil2!$D$3</f>
        <v>0</v>
      </c>
      <c r="AI194" s="3">
        <f>T194*Feuil2!$E$2</f>
        <v>0</v>
      </c>
      <c r="AJ194" s="3">
        <f>U194*Feuil2!$F$3</f>
        <v>0</v>
      </c>
      <c r="AK194" s="3">
        <f>V194*Feuil2!$G$3</f>
        <v>0</v>
      </c>
      <c r="AL194" s="3">
        <f>W194*Feuil2!$H$3</f>
        <v>80.599008464328918</v>
      </c>
      <c r="AM194" s="3">
        <f>X194*Feuil2!$I$2</f>
        <v>0</v>
      </c>
      <c r="AN194" s="3">
        <f>Y194*Feuil2!$J$3</f>
        <v>195.73014716044329</v>
      </c>
      <c r="AO194" s="3">
        <f>Z194*Feuil2!$K$3</f>
        <v>0</v>
      </c>
      <c r="AP194" s="3">
        <f>AA194*Feuil2!$L$3</f>
        <v>0</v>
      </c>
      <c r="AQ194" s="3">
        <f>AB194*Feuil2!$M$3</f>
        <v>0</v>
      </c>
      <c r="AR194" s="3">
        <f>AC194*Feuil2!$N$3</f>
        <v>350.65869346733672</v>
      </c>
    </row>
    <row r="195" spans="1:44" x14ac:dyDescent="0.35">
      <c r="A195" t="s">
        <v>391</v>
      </c>
      <c r="B195" t="s">
        <v>392</v>
      </c>
      <c r="C195">
        <v>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89</v>
      </c>
      <c r="L195">
        <v>132</v>
      </c>
      <c r="M195">
        <v>88</v>
      </c>
      <c r="N195">
        <v>0</v>
      </c>
      <c r="O195">
        <v>318</v>
      </c>
      <c r="Q195" s="1">
        <f>C195/$C$434</f>
        <v>2.2217285047767163E-4</v>
      </c>
      <c r="R195" s="1">
        <f t="shared" si="33"/>
        <v>0</v>
      </c>
      <c r="S195" s="1">
        <f t="shared" si="37"/>
        <v>0</v>
      </c>
      <c r="T195" s="1">
        <f t="shared" si="38"/>
        <v>0</v>
      </c>
      <c r="U195" s="1">
        <f t="shared" si="39"/>
        <v>0</v>
      </c>
      <c r="V195" s="1">
        <f t="shared" si="40"/>
        <v>0</v>
      </c>
      <c r="W195" s="1">
        <f t="shared" si="41"/>
        <v>0</v>
      </c>
      <c r="X195" s="1">
        <f t="shared" si="42"/>
        <v>0</v>
      </c>
      <c r="Y195" s="1">
        <f t="shared" si="43"/>
        <v>2.2777877306579992E-3</v>
      </c>
      <c r="Z195" s="1">
        <f t="shared" si="34"/>
        <v>3.3495736906211937E-3</v>
      </c>
      <c r="AA195" s="1">
        <f t="shared" ref="AA195:AA258" si="44">M195/M$434</f>
        <v>2.2031394737500941E-3</v>
      </c>
      <c r="AB195" s="1">
        <f t="shared" ref="AB195:AB258" si="45">N195/N$434</f>
        <v>0</v>
      </c>
      <c r="AC195" s="1">
        <f t="shared" ref="AC195:AC258" si="46">O195/O$434</f>
        <v>8.375209380234506E-4</v>
      </c>
      <c r="AD195" s="1" t="str">
        <f t="shared" si="35"/>
        <v>SARL GARAGE LETELLIER</v>
      </c>
      <c r="AE195" s="1" t="str">
        <f t="shared" si="36"/>
        <v>5063</v>
      </c>
      <c r="AF195" s="3">
        <f>Q195*Feuil2!$B$3</f>
        <v>7.859346811819595</v>
      </c>
      <c r="AG195" s="3">
        <f>R195*Feuil2!$C$3</f>
        <v>0</v>
      </c>
      <c r="AH195" s="3">
        <f>S195*Feuil2!$D$3</f>
        <v>0</v>
      </c>
      <c r="AI195" s="3">
        <f>T195*Feuil2!$E$2</f>
        <v>0</v>
      </c>
      <c r="AJ195" s="3">
        <f>U195*Feuil2!$F$3</f>
        <v>0</v>
      </c>
      <c r="AK195" s="3">
        <f>V195*Feuil2!$G$3</f>
        <v>0</v>
      </c>
      <c r="AL195" s="3">
        <f>W195*Feuil2!$H$3</f>
        <v>0</v>
      </c>
      <c r="AM195" s="3">
        <f>X195*Feuil2!$I$2</f>
        <v>0</v>
      </c>
      <c r="AN195" s="3">
        <f>Y195*Feuil2!$J$3</f>
        <v>96.243000537455544</v>
      </c>
      <c r="AO195" s="3">
        <f>Z195*Feuil2!$K$3</f>
        <v>134.94668696711329</v>
      </c>
      <c r="AP195" s="3">
        <f>AA195*Feuil2!$L$3</f>
        <v>80.100599354079577</v>
      </c>
      <c r="AQ195" s="3">
        <f>AB195*Feuil2!$M$3</f>
        <v>0</v>
      </c>
      <c r="AR195" s="3">
        <f>AC195*Feuil2!$N$3</f>
        <v>350.65869346733672</v>
      </c>
    </row>
    <row r="196" spans="1:44" x14ac:dyDescent="0.35">
      <c r="A196" t="s">
        <v>393</v>
      </c>
      <c r="B196" t="s">
        <v>394</v>
      </c>
      <c r="C196">
        <v>230</v>
      </c>
      <c r="D196">
        <v>87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317</v>
      </c>
      <c r="Q196" s="1">
        <f>C196/$C$434</f>
        <v>5.6777506233182751E-3</v>
      </c>
      <c r="R196" s="1">
        <f t="shared" ref="R196:R259" si="47">D196/D$434</f>
        <v>3.667481662591687E-3</v>
      </c>
      <c r="S196" s="1">
        <f t="shared" si="37"/>
        <v>0</v>
      </c>
      <c r="T196" s="1">
        <f t="shared" si="38"/>
        <v>0</v>
      </c>
      <c r="U196" s="1">
        <f t="shared" si="39"/>
        <v>0</v>
      </c>
      <c r="V196" s="1">
        <f t="shared" si="40"/>
        <v>0</v>
      </c>
      <c r="W196" s="1">
        <f t="shared" si="41"/>
        <v>0</v>
      </c>
      <c r="X196" s="1">
        <f t="shared" si="42"/>
        <v>0</v>
      </c>
      <c r="Y196" s="1">
        <f t="shared" si="43"/>
        <v>0</v>
      </c>
      <c r="Z196" s="1">
        <f t="shared" ref="Z196:Z259" si="48">L196/L$434</f>
        <v>0</v>
      </c>
      <c r="AA196" s="1">
        <f t="shared" si="44"/>
        <v>0</v>
      </c>
      <c r="AB196" s="1">
        <f t="shared" si="45"/>
        <v>0</v>
      </c>
      <c r="AC196" s="1">
        <f t="shared" si="46"/>
        <v>8.3488722438186745E-4</v>
      </c>
      <c r="AD196" s="1" t="str">
        <f t="shared" ref="AD196:AD259" si="49">A196</f>
        <v>MARNEUX</v>
      </c>
      <c r="AE196" s="1" t="str">
        <f t="shared" ref="AE196:AE259" si="50">B196</f>
        <v>3609</v>
      </c>
      <c r="AF196" s="3">
        <f>Q196*Feuil2!$B$3</f>
        <v>200.84997407983411</v>
      </c>
      <c r="AG196" s="3">
        <f>R196*Feuil2!$C$3</f>
        <v>129.73687041564793</v>
      </c>
      <c r="AH196" s="3">
        <f>S196*Feuil2!$D$3</f>
        <v>0</v>
      </c>
      <c r="AI196" s="3">
        <f>T196*Feuil2!$E$2</f>
        <v>0</v>
      </c>
      <c r="AJ196" s="3">
        <f>U196*Feuil2!$F$3</f>
        <v>0</v>
      </c>
      <c r="AK196" s="3">
        <f>V196*Feuil2!$G$3</f>
        <v>0</v>
      </c>
      <c r="AL196" s="3">
        <f>W196*Feuil2!$H$3</f>
        <v>0</v>
      </c>
      <c r="AM196" s="3">
        <f>X196*Feuil2!$I$2</f>
        <v>0</v>
      </c>
      <c r="AN196" s="3">
        <f>Y196*Feuil2!$J$3</f>
        <v>0</v>
      </c>
      <c r="AO196" s="3">
        <f>Z196*Feuil2!$K$3</f>
        <v>0</v>
      </c>
      <c r="AP196" s="3">
        <f>AA196*Feuil2!$L$3</f>
        <v>0</v>
      </c>
      <c r="AQ196" s="3">
        <f>AB196*Feuil2!$M$3</f>
        <v>0</v>
      </c>
      <c r="AR196" s="3">
        <f>AC196*Feuil2!$N$3</f>
        <v>349.55599317341427</v>
      </c>
    </row>
    <row r="197" spans="1:44" x14ac:dyDescent="0.35">
      <c r="A197" t="s">
        <v>395</v>
      </c>
      <c r="B197" t="s">
        <v>396</v>
      </c>
      <c r="C197">
        <v>27</v>
      </c>
      <c r="D197">
        <v>0</v>
      </c>
      <c r="E197">
        <v>0</v>
      </c>
      <c r="F197">
        <v>55</v>
      </c>
      <c r="G197">
        <v>0</v>
      </c>
      <c r="H197">
        <v>0</v>
      </c>
      <c r="I197">
        <v>137</v>
      </c>
      <c r="J197">
        <v>0</v>
      </c>
      <c r="K197">
        <v>52</v>
      </c>
      <c r="L197">
        <v>0</v>
      </c>
      <c r="M197">
        <v>30</v>
      </c>
      <c r="N197">
        <v>0</v>
      </c>
      <c r="O197">
        <v>301</v>
      </c>
      <c r="Q197" s="1">
        <f>C197/$C$434</f>
        <v>6.6651855143301487E-4</v>
      </c>
      <c r="R197" s="1">
        <f t="shared" si="47"/>
        <v>0</v>
      </c>
      <c r="S197" s="1">
        <f t="shared" si="37"/>
        <v>0</v>
      </c>
      <c r="T197" s="1">
        <f t="shared" si="38"/>
        <v>2.2085692486848974E-3</v>
      </c>
      <c r="U197" s="1">
        <f t="shared" si="39"/>
        <v>0</v>
      </c>
      <c r="V197" s="1">
        <f t="shared" si="40"/>
        <v>0</v>
      </c>
      <c r="W197" s="1">
        <f t="shared" si="41"/>
        <v>3.0677594160060909E-3</v>
      </c>
      <c r="X197" s="1">
        <f t="shared" si="42"/>
        <v>0</v>
      </c>
      <c r="Y197" s="1">
        <f t="shared" si="43"/>
        <v>1.3308422695979321E-3</v>
      </c>
      <c r="Z197" s="1">
        <f t="shared" si="48"/>
        <v>0</v>
      </c>
      <c r="AA197" s="1">
        <f t="shared" si="44"/>
        <v>7.5107027514207747E-4</v>
      </c>
      <c r="AB197" s="1">
        <f t="shared" si="45"/>
        <v>0</v>
      </c>
      <c r="AC197" s="1">
        <f t="shared" si="46"/>
        <v>7.9274780611653659E-4</v>
      </c>
      <c r="AD197" s="1" t="str">
        <f t="shared" si="49"/>
        <v>EUDES</v>
      </c>
      <c r="AE197" s="1" t="str">
        <f t="shared" si="50"/>
        <v>3037</v>
      </c>
      <c r="AF197" s="3">
        <f>Q197*Feuil2!$B$3</f>
        <v>23.578040435458785</v>
      </c>
      <c r="AG197" s="3">
        <f>R197*Feuil2!$C$3</f>
        <v>0</v>
      </c>
      <c r="AH197" s="3">
        <f>S197*Feuil2!$D$3</f>
        <v>0</v>
      </c>
      <c r="AI197" s="3">
        <f>T197*Feuil2!$E$2</f>
        <v>82.783801148456007</v>
      </c>
      <c r="AJ197" s="3">
        <f>U197*Feuil2!$F$3</f>
        <v>0</v>
      </c>
      <c r="AK197" s="3">
        <f>V197*Feuil2!$G$3</f>
        <v>0</v>
      </c>
      <c r="AL197" s="3">
        <f>W197*Feuil2!$H$3</f>
        <v>111.53600161225314</v>
      </c>
      <c r="AM197" s="3">
        <f>X197*Feuil2!$I$2</f>
        <v>0</v>
      </c>
      <c r="AN197" s="3">
        <f>Y197*Feuil2!$J$3</f>
        <v>56.231865482558298</v>
      </c>
      <c r="AO197" s="3">
        <f>Z197*Feuil2!$K$3</f>
        <v>0</v>
      </c>
      <c r="AP197" s="3">
        <f>AA197*Feuil2!$L$3</f>
        <v>27.307022507072581</v>
      </c>
      <c r="AQ197" s="3">
        <f>AB197*Feuil2!$M$3</f>
        <v>0</v>
      </c>
      <c r="AR197" s="3">
        <f>AC197*Feuil2!$N$3</f>
        <v>331.91278847065519</v>
      </c>
    </row>
    <row r="198" spans="1:44" x14ac:dyDescent="0.35">
      <c r="A198" t="s">
        <v>397</v>
      </c>
      <c r="B198" t="s">
        <v>398</v>
      </c>
      <c r="C198">
        <v>9</v>
      </c>
      <c r="D198">
        <v>38</v>
      </c>
      <c r="E198">
        <v>15</v>
      </c>
      <c r="F198">
        <v>19</v>
      </c>
      <c r="G198">
        <v>25</v>
      </c>
      <c r="H198">
        <v>0</v>
      </c>
      <c r="I198">
        <v>96</v>
      </c>
      <c r="J198">
        <v>0</v>
      </c>
      <c r="K198">
        <v>75</v>
      </c>
      <c r="L198">
        <v>19</v>
      </c>
      <c r="M198">
        <v>0</v>
      </c>
      <c r="N198">
        <v>0</v>
      </c>
      <c r="O198">
        <v>296</v>
      </c>
      <c r="Q198" s="1">
        <f>C198/$C$434</f>
        <v>2.2217285047767163E-4</v>
      </c>
      <c r="R198" s="1">
        <f t="shared" si="47"/>
        <v>1.6018885422814265E-3</v>
      </c>
      <c r="S198" s="1">
        <f t="shared" si="37"/>
        <v>5.0918225330119833E-4</v>
      </c>
      <c r="T198" s="1">
        <f t="shared" si="38"/>
        <v>7.6296028590932814E-4</v>
      </c>
      <c r="U198" s="1">
        <f t="shared" si="39"/>
        <v>1.1917246639336447E-3</v>
      </c>
      <c r="V198" s="1">
        <f t="shared" si="40"/>
        <v>0</v>
      </c>
      <c r="W198" s="1">
        <f t="shared" si="41"/>
        <v>2.1496708316539031E-3</v>
      </c>
      <c r="X198" s="1">
        <f t="shared" si="42"/>
        <v>0</v>
      </c>
      <c r="Y198" s="1">
        <f t="shared" si="43"/>
        <v>1.9194840426893251E-3</v>
      </c>
      <c r="Z198" s="1">
        <f t="shared" si="48"/>
        <v>4.8213560698335363E-4</v>
      </c>
      <c r="AA198" s="1">
        <f t="shared" si="44"/>
        <v>0</v>
      </c>
      <c r="AB198" s="1">
        <f t="shared" si="45"/>
        <v>0</v>
      </c>
      <c r="AC198" s="1">
        <f t="shared" si="46"/>
        <v>7.7957923790862062E-4</v>
      </c>
      <c r="AD198" s="1" t="str">
        <f t="shared" si="49"/>
        <v>GARAGE DUVAL</v>
      </c>
      <c r="AE198" s="1" t="str">
        <f t="shared" si="50"/>
        <v>3786</v>
      </c>
      <c r="AF198" s="3">
        <f>Q198*Feuil2!$B$3</f>
        <v>7.859346811819595</v>
      </c>
      <c r="AG198" s="3">
        <f>R198*Feuil2!$C$3</f>
        <v>56.666679032122076</v>
      </c>
      <c r="AH198" s="3">
        <f>S198*Feuil2!$D$3</f>
        <v>20.009742353779831</v>
      </c>
      <c r="AI198" s="3">
        <f>T198*Feuil2!$E$2</f>
        <v>28.598040396739346</v>
      </c>
      <c r="AJ198" s="3">
        <f>U198*Feuil2!$F$3</f>
        <v>30.446658404042331</v>
      </c>
      <c r="AK198" s="3">
        <f>V198*Feuil2!$G$3</f>
        <v>0</v>
      </c>
      <c r="AL198" s="3">
        <f>W198*Feuil2!$H$3</f>
        <v>78.156614268440151</v>
      </c>
      <c r="AM198" s="3">
        <f>X198*Feuil2!$I$2</f>
        <v>0</v>
      </c>
      <c r="AN198" s="3">
        <f>Y198*Feuil2!$J$3</f>
        <v>81.103652138305236</v>
      </c>
      <c r="AO198" s="3">
        <f>Z198*Feuil2!$K$3</f>
        <v>19.424144336175395</v>
      </c>
      <c r="AP198" s="3">
        <f>AA198*Feuil2!$L$3</f>
        <v>0</v>
      </c>
      <c r="AQ198" s="3">
        <f>AB198*Feuil2!$M$3</f>
        <v>0</v>
      </c>
      <c r="AR198" s="3">
        <f>AC198*Feuil2!$N$3</f>
        <v>326.39928700104298</v>
      </c>
    </row>
    <row r="199" spans="1:44" x14ac:dyDescent="0.35">
      <c r="A199" t="s">
        <v>399</v>
      </c>
      <c r="B199" t="s">
        <v>400</v>
      </c>
      <c r="C199">
        <v>46</v>
      </c>
      <c r="D199">
        <v>0</v>
      </c>
      <c r="E199">
        <v>0</v>
      </c>
      <c r="F199">
        <v>0</v>
      </c>
      <c r="G199">
        <v>57</v>
      </c>
      <c r="H199">
        <v>0</v>
      </c>
      <c r="I199">
        <v>23</v>
      </c>
      <c r="J199">
        <v>0</v>
      </c>
      <c r="K199">
        <v>0</v>
      </c>
      <c r="L199">
        <v>168</v>
      </c>
      <c r="M199">
        <v>0</v>
      </c>
      <c r="N199">
        <v>0</v>
      </c>
      <c r="O199">
        <v>294</v>
      </c>
      <c r="Q199" s="1">
        <f>C199/$C$434</f>
        <v>1.135550124663655E-3</v>
      </c>
      <c r="R199" s="1">
        <f t="shared" si="47"/>
        <v>0</v>
      </c>
      <c r="S199" s="1">
        <f t="shared" si="37"/>
        <v>0</v>
      </c>
      <c r="T199" s="1">
        <f t="shared" si="38"/>
        <v>0</v>
      </c>
      <c r="U199" s="1">
        <f t="shared" si="39"/>
        <v>2.7171322337687103E-3</v>
      </c>
      <c r="V199" s="1">
        <f t="shared" si="40"/>
        <v>0</v>
      </c>
      <c r="W199" s="1">
        <f t="shared" si="41"/>
        <v>5.1502530341708097E-4</v>
      </c>
      <c r="X199" s="1">
        <f t="shared" si="42"/>
        <v>0</v>
      </c>
      <c r="Y199" s="1">
        <f t="shared" si="43"/>
        <v>0</v>
      </c>
      <c r="Z199" s="1">
        <f t="shared" si="48"/>
        <v>4.2630937880633376E-3</v>
      </c>
      <c r="AA199" s="1">
        <f t="shared" si="44"/>
        <v>0</v>
      </c>
      <c r="AB199" s="1">
        <f t="shared" si="45"/>
        <v>0</v>
      </c>
      <c r="AC199" s="1">
        <f t="shared" si="46"/>
        <v>7.7431181062545431E-4</v>
      </c>
      <c r="AD199" s="1" t="str">
        <f t="shared" si="49"/>
        <v>VIEL AUTOMOBILES</v>
      </c>
      <c r="AE199" s="1" t="str">
        <f t="shared" si="50"/>
        <v>62789</v>
      </c>
      <c r="AF199" s="3">
        <f>Q199*Feuil2!$B$3</f>
        <v>40.169994815966817</v>
      </c>
      <c r="AG199" s="3">
        <f>R199*Feuil2!$C$3</f>
        <v>0</v>
      </c>
      <c r="AH199" s="3">
        <f>S199*Feuil2!$D$3</f>
        <v>0</v>
      </c>
      <c r="AI199" s="3">
        <f>T199*Feuil2!$E$2</f>
        <v>0</v>
      </c>
      <c r="AJ199" s="3">
        <f>U199*Feuil2!$F$3</f>
        <v>69.418381161216516</v>
      </c>
      <c r="AK199" s="3">
        <f>V199*Feuil2!$G$3</f>
        <v>0</v>
      </c>
      <c r="AL199" s="3">
        <f>W199*Feuil2!$H$3</f>
        <v>18.725022168480454</v>
      </c>
      <c r="AM199" s="3">
        <f>X199*Feuil2!$I$2</f>
        <v>0</v>
      </c>
      <c r="AN199" s="3">
        <f>Y199*Feuil2!$J$3</f>
        <v>0</v>
      </c>
      <c r="AO199" s="3">
        <f>Z199*Feuil2!$K$3</f>
        <v>171.75032886723508</v>
      </c>
      <c r="AP199" s="3">
        <f>AA199*Feuil2!$L$3</f>
        <v>0</v>
      </c>
      <c r="AQ199" s="3">
        <f>AB199*Feuil2!$M$3</f>
        <v>0</v>
      </c>
      <c r="AR199" s="3">
        <f>AC199*Feuil2!$N$3</f>
        <v>324.19388641319807</v>
      </c>
    </row>
    <row r="200" spans="1:44" x14ac:dyDescent="0.35">
      <c r="A200" t="s">
        <v>401</v>
      </c>
      <c r="B200" t="s">
        <v>402</v>
      </c>
      <c r="C200">
        <v>93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187</v>
      </c>
      <c r="M200">
        <v>0</v>
      </c>
      <c r="N200">
        <v>0</v>
      </c>
      <c r="O200">
        <v>280</v>
      </c>
      <c r="Q200" s="1">
        <f>C200/$C$434</f>
        <v>2.2957861216026066E-3</v>
      </c>
      <c r="R200" s="1">
        <f t="shared" si="47"/>
        <v>0</v>
      </c>
      <c r="S200" s="1">
        <f t="shared" si="37"/>
        <v>0</v>
      </c>
      <c r="T200" s="1">
        <f t="shared" si="38"/>
        <v>0</v>
      </c>
      <c r="U200" s="1">
        <f t="shared" si="39"/>
        <v>0</v>
      </c>
      <c r="V200" s="1">
        <f t="shared" si="40"/>
        <v>0</v>
      </c>
      <c r="W200" s="1">
        <f t="shared" si="41"/>
        <v>0</v>
      </c>
      <c r="X200" s="1">
        <f t="shared" si="42"/>
        <v>0</v>
      </c>
      <c r="Y200" s="1">
        <f t="shared" si="43"/>
        <v>0</v>
      </c>
      <c r="Z200" s="1">
        <f t="shared" si="48"/>
        <v>4.7452293950466908E-3</v>
      </c>
      <c r="AA200" s="1">
        <f t="shared" si="44"/>
        <v>0</v>
      </c>
      <c r="AB200" s="1">
        <f t="shared" si="45"/>
        <v>0</v>
      </c>
      <c r="AC200" s="1">
        <f t="shared" si="46"/>
        <v>7.3743981964328987E-4</v>
      </c>
      <c r="AD200" s="1" t="str">
        <f t="shared" si="49"/>
        <v>BOULE</v>
      </c>
      <c r="AE200" s="1" t="str">
        <f t="shared" si="50"/>
        <v>2139</v>
      </c>
      <c r="AF200" s="3">
        <f>Q200*Feuil2!$B$3</f>
        <v>81.213250388802479</v>
      </c>
      <c r="AG200" s="3">
        <f>R200*Feuil2!$C$3</f>
        <v>0</v>
      </c>
      <c r="AH200" s="3">
        <f>S200*Feuil2!$D$3</f>
        <v>0</v>
      </c>
      <c r="AI200" s="3">
        <f>T200*Feuil2!$E$2</f>
        <v>0</v>
      </c>
      <c r="AJ200" s="3">
        <f>U200*Feuil2!$F$3</f>
        <v>0</v>
      </c>
      <c r="AK200" s="3">
        <f>V200*Feuil2!$G$3</f>
        <v>0</v>
      </c>
      <c r="AL200" s="3">
        <f>W200*Feuil2!$H$3</f>
        <v>0</v>
      </c>
      <c r="AM200" s="3">
        <f>X200*Feuil2!$I$2</f>
        <v>0</v>
      </c>
      <c r="AN200" s="3">
        <f>Y200*Feuil2!$J$3</f>
        <v>0</v>
      </c>
      <c r="AO200" s="3">
        <f>Z200*Feuil2!$K$3</f>
        <v>191.17447320341046</v>
      </c>
      <c r="AP200" s="3">
        <f>AA200*Feuil2!$L$3</f>
        <v>0</v>
      </c>
      <c r="AQ200" s="3">
        <f>AB200*Feuil2!$M$3</f>
        <v>0</v>
      </c>
      <c r="AR200" s="3">
        <f>AC200*Feuil2!$N$3</f>
        <v>308.7560822982839</v>
      </c>
    </row>
    <row r="201" spans="1:44" x14ac:dyDescent="0.35">
      <c r="A201" t="s">
        <v>403</v>
      </c>
      <c r="B201" t="s">
        <v>404</v>
      </c>
      <c r="C201">
        <v>83</v>
      </c>
      <c r="D201">
        <v>0</v>
      </c>
      <c r="E201">
        <v>0</v>
      </c>
      <c r="F201">
        <v>0</v>
      </c>
      <c r="G201">
        <v>0</v>
      </c>
      <c r="H201">
        <v>17</v>
      </c>
      <c r="I201">
        <v>16</v>
      </c>
      <c r="J201">
        <v>0</v>
      </c>
      <c r="K201">
        <v>108</v>
      </c>
      <c r="L201">
        <v>0</v>
      </c>
      <c r="M201">
        <v>50</v>
      </c>
      <c r="N201">
        <v>0</v>
      </c>
      <c r="O201">
        <v>274</v>
      </c>
      <c r="Q201" s="1">
        <f>C201/$C$434</f>
        <v>2.0489273988496385E-3</v>
      </c>
      <c r="R201" s="1">
        <f t="shared" si="47"/>
        <v>0</v>
      </c>
      <c r="S201" s="1">
        <f t="shared" si="37"/>
        <v>0</v>
      </c>
      <c r="T201" s="1">
        <f t="shared" si="38"/>
        <v>0</v>
      </c>
      <c r="U201" s="1">
        <f t="shared" si="39"/>
        <v>0</v>
      </c>
      <c r="V201" s="1">
        <f t="shared" si="40"/>
        <v>5.6907575402537409E-4</v>
      </c>
      <c r="W201" s="1">
        <f t="shared" si="41"/>
        <v>3.5827847194231716E-4</v>
      </c>
      <c r="X201" s="1">
        <f t="shared" si="42"/>
        <v>0</v>
      </c>
      <c r="Y201" s="1">
        <f t="shared" si="43"/>
        <v>2.7640570214726282E-3</v>
      </c>
      <c r="Z201" s="1">
        <f t="shared" si="48"/>
        <v>0</v>
      </c>
      <c r="AA201" s="1">
        <f t="shared" si="44"/>
        <v>1.2517837919034625E-3</v>
      </c>
      <c r="AB201" s="1">
        <f t="shared" si="45"/>
        <v>0</v>
      </c>
      <c r="AC201" s="1">
        <f t="shared" si="46"/>
        <v>7.2163753779379074E-4</v>
      </c>
      <c r="AD201" s="1" t="str">
        <f t="shared" si="49"/>
        <v>PATRY Louvigny</v>
      </c>
      <c r="AE201" s="1" t="str">
        <f t="shared" si="50"/>
        <v>3030</v>
      </c>
      <c r="AF201" s="3">
        <f>Q201*Feuil2!$B$3</f>
        <v>72.480642820114056</v>
      </c>
      <c r="AG201" s="3">
        <f>R201*Feuil2!$C$3</f>
        <v>0</v>
      </c>
      <c r="AH201" s="3">
        <f>S201*Feuil2!$D$3</f>
        <v>0</v>
      </c>
      <c r="AI201" s="3">
        <f>T201*Feuil2!$E$2</f>
        <v>0</v>
      </c>
      <c r="AJ201" s="3">
        <f>U201*Feuil2!$F$3</f>
        <v>0</v>
      </c>
      <c r="AK201" s="3">
        <f>V201*Feuil2!$G$3</f>
        <v>22.926764636963146</v>
      </c>
      <c r="AL201" s="3">
        <f>W201*Feuil2!$H$3</f>
        <v>13.026102378073359</v>
      </c>
      <c r="AM201" s="3">
        <f>X201*Feuil2!$I$2</f>
        <v>0</v>
      </c>
      <c r="AN201" s="3">
        <f>Y201*Feuil2!$J$3</f>
        <v>116.78925907915954</v>
      </c>
      <c r="AO201" s="3">
        <f>Z201*Feuil2!$K$3</f>
        <v>0</v>
      </c>
      <c r="AP201" s="3">
        <f>AA201*Feuil2!$L$3</f>
        <v>45.511704178454302</v>
      </c>
      <c r="AQ201" s="3">
        <f>AB201*Feuil2!$M$3</f>
        <v>0</v>
      </c>
      <c r="AR201" s="3">
        <f>AC201*Feuil2!$N$3</f>
        <v>302.13988053474924</v>
      </c>
    </row>
    <row r="202" spans="1:44" x14ac:dyDescent="0.35">
      <c r="A202" t="s">
        <v>405</v>
      </c>
      <c r="B202" t="s">
        <v>406</v>
      </c>
      <c r="C202">
        <v>0</v>
      </c>
      <c r="D202">
        <v>103</v>
      </c>
      <c r="E202">
        <v>0</v>
      </c>
      <c r="F202">
        <v>0</v>
      </c>
      <c r="G202">
        <v>0</v>
      </c>
      <c r="H202">
        <v>37</v>
      </c>
      <c r="I202">
        <v>16</v>
      </c>
      <c r="J202">
        <v>0</v>
      </c>
      <c r="K202">
        <v>0</v>
      </c>
      <c r="L202">
        <v>0</v>
      </c>
      <c r="M202">
        <v>116</v>
      </c>
      <c r="N202">
        <v>0</v>
      </c>
      <c r="O202">
        <v>272</v>
      </c>
      <c r="Q202" s="1">
        <f>C202/$C$434</f>
        <v>0</v>
      </c>
      <c r="R202" s="1">
        <f t="shared" si="47"/>
        <v>4.3419610488154457E-3</v>
      </c>
      <c r="S202" s="1">
        <f t="shared" si="37"/>
        <v>0</v>
      </c>
      <c r="T202" s="1">
        <f t="shared" si="38"/>
        <v>0</v>
      </c>
      <c r="U202" s="1">
        <f t="shared" si="39"/>
        <v>0</v>
      </c>
      <c r="V202" s="1">
        <f t="shared" si="40"/>
        <v>1.2385766411140496E-3</v>
      </c>
      <c r="W202" s="1">
        <f t="shared" si="41"/>
        <v>3.5827847194231716E-4</v>
      </c>
      <c r="X202" s="1">
        <f t="shared" si="42"/>
        <v>0</v>
      </c>
      <c r="Y202" s="1">
        <f t="shared" si="43"/>
        <v>0</v>
      </c>
      <c r="Z202" s="1">
        <f t="shared" si="48"/>
        <v>0</v>
      </c>
      <c r="AA202" s="1">
        <f t="shared" si="44"/>
        <v>2.9041383972160328E-3</v>
      </c>
      <c r="AB202" s="1">
        <f t="shared" si="45"/>
        <v>0</v>
      </c>
      <c r="AC202" s="1">
        <f t="shared" si="46"/>
        <v>7.1637011051062444E-4</v>
      </c>
      <c r="AD202" s="1" t="str">
        <f t="shared" si="49"/>
        <v>DESERT AUTOMOBILES</v>
      </c>
      <c r="AE202" s="1" t="str">
        <f t="shared" si="50"/>
        <v>3285</v>
      </c>
      <c r="AF202" s="3">
        <f>Q202*Feuil2!$B$3</f>
        <v>0</v>
      </c>
      <c r="AG202" s="3">
        <f>R202*Feuil2!$C$3</f>
        <v>153.59652474496247</v>
      </c>
      <c r="AH202" s="3">
        <f>S202*Feuil2!$D$3</f>
        <v>0</v>
      </c>
      <c r="AI202" s="3">
        <f>T202*Feuil2!$E$2</f>
        <v>0</v>
      </c>
      <c r="AJ202" s="3">
        <f>U202*Feuil2!$F$3</f>
        <v>0</v>
      </c>
      <c r="AK202" s="3">
        <f>V202*Feuil2!$G$3</f>
        <v>49.899428915743322</v>
      </c>
      <c r="AL202" s="3">
        <f>W202*Feuil2!$H$3</f>
        <v>13.026102378073359</v>
      </c>
      <c r="AM202" s="3">
        <f>X202*Feuil2!$I$2</f>
        <v>0</v>
      </c>
      <c r="AN202" s="3">
        <f>Y202*Feuil2!$J$3</f>
        <v>0</v>
      </c>
      <c r="AO202" s="3">
        <f>Z202*Feuil2!$K$3</f>
        <v>0</v>
      </c>
      <c r="AP202" s="3">
        <f>AA202*Feuil2!$L$3</f>
        <v>105.58715369401398</v>
      </c>
      <c r="AQ202" s="3">
        <f>AB202*Feuil2!$M$3</f>
        <v>0</v>
      </c>
      <c r="AR202" s="3">
        <f>AC202*Feuil2!$N$3</f>
        <v>299.93447994690439</v>
      </c>
    </row>
    <row r="203" spans="1:44" x14ac:dyDescent="0.35">
      <c r="A203" t="s">
        <v>407</v>
      </c>
      <c r="B203" t="s">
        <v>45</v>
      </c>
      <c r="C203">
        <v>265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265</v>
      </c>
      <c r="Q203" s="1">
        <f>C203/$C$434</f>
        <v>6.5417561529536646E-3</v>
      </c>
      <c r="R203" s="1">
        <f t="shared" si="47"/>
        <v>0</v>
      </c>
      <c r="S203" s="1">
        <f t="shared" si="37"/>
        <v>0</v>
      </c>
      <c r="T203" s="1">
        <f t="shared" si="38"/>
        <v>0</v>
      </c>
      <c r="U203" s="1">
        <f t="shared" si="39"/>
        <v>0</v>
      </c>
      <c r="V203" s="1">
        <f t="shared" si="40"/>
        <v>0</v>
      </c>
      <c r="W203" s="1">
        <f t="shared" si="41"/>
        <v>0</v>
      </c>
      <c r="X203" s="1">
        <f t="shared" si="42"/>
        <v>0</v>
      </c>
      <c r="Y203" s="1">
        <f t="shared" si="43"/>
        <v>0</v>
      </c>
      <c r="Z203" s="1">
        <f t="shared" si="48"/>
        <v>0</v>
      </c>
      <c r="AA203" s="1">
        <f t="shared" si="44"/>
        <v>0</v>
      </c>
      <c r="AB203" s="1">
        <f t="shared" si="45"/>
        <v>0</v>
      </c>
      <c r="AC203" s="1">
        <f t="shared" si="46"/>
        <v>6.9793411501954217E-4</v>
      </c>
      <c r="AD203" s="1" t="str">
        <f t="shared" si="49"/>
        <v>JFC LISIEUX</v>
      </c>
      <c r="AE203" s="1" t="str">
        <f t="shared" si="50"/>
        <v>5194</v>
      </c>
      <c r="AF203" s="3">
        <f>Q203*Feuil2!$B$3</f>
        <v>231.41410057024365</v>
      </c>
      <c r="AG203" s="3">
        <f>R203*Feuil2!$C$3</f>
        <v>0</v>
      </c>
      <c r="AH203" s="3">
        <f>S203*Feuil2!$D$3</f>
        <v>0</v>
      </c>
      <c r="AI203" s="3">
        <f>T203*Feuil2!$E$2</f>
        <v>0</v>
      </c>
      <c r="AJ203" s="3">
        <f>U203*Feuil2!$F$3</f>
        <v>0</v>
      </c>
      <c r="AK203" s="3">
        <f>V203*Feuil2!$G$3</f>
        <v>0</v>
      </c>
      <c r="AL203" s="3">
        <f>W203*Feuil2!$H$3</f>
        <v>0</v>
      </c>
      <c r="AM203" s="3">
        <f>X203*Feuil2!$I$2</f>
        <v>0</v>
      </c>
      <c r="AN203" s="3">
        <f>Y203*Feuil2!$J$3</f>
        <v>0</v>
      </c>
      <c r="AO203" s="3">
        <f>Z203*Feuil2!$K$3</f>
        <v>0</v>
      </c>
      <c r="AP203" s="3">
        <f>AA203*Feuil2!$L$3</f>
        <v>0</v>
      </c>
      <c r="AQ203" s="3">
        <f>AB203*Feuil2!$M$3</f>
        <v>0</v>
      </c>
      <c r="AR203" s="3">
        <f>AC203*Feuil2!$N$3</f>
        <v>292.21557788944727</v>
      </c>
    </row>
    <row r="204" spans="1:44" x14ac:dyDescent="0.35">
      <c r="A204" t="s">
        <v>408</v>
      </c>
      <c r="B204" t="s">
        <v>409</v>
      </c>
      <c r="C204">
        <v>0</v>
      </c>
      <c r="D204">
        <v>0</v>
      </c>
      <c r="E204">
        <v>0</v>
      </c>
      <c r="F204">
        <v>0</v>
      </c>
      <c r="G204">
        <v>14</v>
      </c>
      <c r="H204">
        <v>42</v>
      </c>
      <c r="I204">
        <v>38</v>
      </c>
      <c r="J204">
        <v>121</v>
      </c>
      <c r="K204">
        <v>18</v>
      </c>
      <c r="L204">
        <v>12</v>
      </c>
      <c r="M204">
        <v>19</v>
      </c>
      <c r="N204">
        <v>0</v>
      </c>
      <c r="O204">
        <v>264</v>
      </c>
      <c r="Q204" s="1">
        <f>C204/$C$434</f>
        <v>0</v>
      </c>
      <c r="R204" s="1">
        <f t="shared" si="47"/>
        <v>0</v>
      </c>
      <c r="S204" s="1">
        <f t="shared" si="37"/>
        <v>0</v>
      </c>
      <c r="T204" s="1">
        <f t="shared" si="38"/>
        <v>0</v>
      </c>
      <c r="U204" s="1">
        <f t="shared" si="39"/>
        <v>6.6736581180284105E-4</v>
      </c>
      <c r="V204" s="1">
        <f t="shared" si="40"/>
        <v>1.4059518628862183E-3</v>
      </c>
      <c r="W204" s="1">
        <f t="shared" si="41"/>
        <v>8.5091137086300327E-4</v>
      </c>
      <c r="X204" s="1">
        <f t="shared" si="42"/>
        <v>6.4643658510524626E-3</v>
      </c>
      <c r="Y204" s="1">
        <f t="shared" si="43"/>
        <v>4.6067617024543801E-4</v>
      </c>
      <c r="Z204" s="1">
        <f t="shared" si="48"/>
        <v>3.0450669914738123E-4</v>
      </c>
      <c r="AA204" s="1">
        <f t="shared" si="44"/>
        <v>4.7567784092331572E-4</v>
      </c>
      <c r="AB204" s="1">
        <f t="shared" si="45"/>
        <v>0</v>
      </c>
      <c r="AC204" s="1">
        <f t="shared" si="46"/>
        <v>6.9530040137795901E-4</v>
      </c>
      <c r="AD204" s="1" t="str">
        <f t="shared" si="49"/>
        <v>POMPANON-LETELLIER</v>
      </c>
      <c r="AE204" s="1" t="str">
        <f t="shared" si="50"/>
        <v>5880</v>
      </c>
      <c r="AF204" s="3">
        <f>Q204*Feuil2!$B$3</f>
        <v>0</v>
      </c>
      <c r="AG204" s="3">
        <f>R204*Feuil2!$C$3</f>
        <v>0</v>
      </c>
      <c r="AH204" s="3">
        <f>S204*Feuil2!$D$3</f>
        <v>0</v>
      </c>
      <c r="AI204" s="3">
        <f>T204*Feuil2!$E$2</f>
        <v>0</v>
      </c>
      <c r="AJ204" s="3">
        <f>U204*Feuil2!$F$3</f>
        <v>17.050128706263706</v>
      </c>
      <c r="AK204" s="3">
        <f>V204*Feuil2!$G$3</f>
        <v>56.642594985438357</v>
      </c>
      <c r="AL204" s="3">
        <f>W204*Feuil2!$H$3</f>
        <v>30.936993147924227</v>
      </c>
      <c r="AM204" s="3">
        <f>X204*Feuil2!$I$2</f>
        <v>138.09178331018271</v>
      </c>
      <c r="AN204" s="3">
        <f>Y204*Feuil2!$J$3</f>
        <v>19.464876513193254</v>
      </c>
      <c r="AO204" s="3">
        <f>Z204*Feuil2!$K$3</f>
        <v>12.267880633373935</v>
      </c>
      <c r="AP204" s="3">
        <f>AA204*Feuil2!$L$3</f>
        <v>17.294447587812634</v>
      </c>
      <c r="AQ204" s="3">
        <f>AB204*Feuil2!$M$3</f>
        <v>0</v>
      </c>
      <c r="AR204" s="3">
        <f>AC204*Feuil2!$N$3</f>
        <v>291.11287759552482</v>
      </c>
    </row>
    <row r="205" spans="1:44" x14ac:dyDescent="0.35">
      <c r="A205" t="s">
        <v>410</v>
      </c>
      <c r="B205" t="s">
        <v>411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142</v>
      </c>
      <c r="M205">
        <v>113</v>
      </c>
      <c r="N205">
        <v>0</v>
      </c>
      <c r="O205">
        <v>255</v>
      </c>
      <c r="Q205" s="1">
        <f>C205/$C$434</f>
        <v>0</v>
      </c>
      <c r="R205" s="1">
        <f t="shared" si="47"/>
        <v>0</v>
      </c>
      <c r="S205" s="1">
        <f t="shared" si="37"/>
        <v>0</v>
      </c>
      <c r="T205" s="1">
        <f t="shared" si="38"/>
        <v>0</v>
      </c>
      <c r="U205" s="1">
        <f t="shared" si="39"/>
        <v>0</v>
      </c>
      <c r="V205" s="1">
        <f t="shared" si="40"/>
        <v>0</v>
      </c>
      <c r="W205" s="1">
        <f t="shared" si="41"/>
        <v>0</v>
      </c>
      <c r="X205" s="1">
        <f t="shared" si="42"/>
        <v>0</v>
      </c>
      <c r="Y205" s="1">
        <f t="shared" si="43"/>
        <v>0</v>
      </c>
      <c r="Z205" s="1">
        <f t="shared" si="48"/>
        <v>3.6033292732440114E-3</v>
      </c>
      <c r="AA205" s="1">
        <f t="shared" si="44"/>
        <v>2.8290313697018252E-3</v>
      </c>
      <c r="AB205" s="1">
        <f t="shared" si="45"/>
        <v>0</v>
      </c>
      <c r="AC205" s="1">
        <f t="shared" si="46"/>
        <v>6.7159697860371033E-4</v>
      </c>
      <c r="AD205" s="1" t="str">
        <f t="shared" si="49"/>
        <v>DE L EUROPE</v>
      </c>
      <c r="AE205" s="1" t="str">
        <f t="shared" si="50"/>
        <v>403055</v>
      </c>
      <c r="AF205" s="3">
        <f>Q205*Feuil2!$B$3</f>
        <v>0</v>
      </c>
      <c r="AG205" s="3">
        <f>R205*Feuil2!$C$3</f>
        <v>0</v>
      </c>
      <c r="AH205" s="3">
        <f>S205*Feuil2!$D$3</f>
        <v>0</v>
      </c>
      <c r="AI205" s="3">
        <f>T205*Feuil2!$E$2</f>
        <v>0</v>
      </c>
      <c r="AJ205" s="3">
        <f>U205*Feuil2!$F$3</f>
        <v>0</v>
      </c>
      <c r="AK205" s="3">
        <f>V205*Feuil2!$G$3</f>
        <v>0</v>
      </c>
      <c r="AL205" s="3">
        <f>W205*Feuil2!$H$3</f>
        <v>0</v>
      </c>
      <c r="AM205" s="3">
        <f>X205*Feuil2!$I$2</f>
        <v>0</v>
      </c>
      <c r="AN205" s="3">
        <f>Y205*Feuil2!$J$3</f>
        <v>0</v>
      </c>
      <c r="AO205" s="3">
        <f>Z205*Feuil2!$K$3</f>
        <v>145.16992082825823</v>
      </c>
      <c r="AP205" s="3">
        <f>AA205*Feuil2!$L$3</f>
        <v>102.85645144330672</v>
      </c>
      <c r="AQ205" s="3">
        <f>AB205*Feuil2!$M$3</f>
        <v>0</v>
      </c>
      <c r="AR205" s="3">
        <f>AC205*Feuil2!$N$3</f>
        <v>281.1885749502228</v>
      </c>
    </row>
    <row r="206" spans="1:44" x14ac:dyDescent="0.35">
      <c r="A206" t="s">
        <v>412</v>
      </c>
      <c r="B206" t="s">
        <v>413</v>
      </c>
      <c r="C206">
        <v>41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210</v>
      </c>
      <c r="N206">
        <v>0</v>
      </c>
      <c r="O206">
        <v>251</v>
      </c>
      <c r="Q206" s="1">
        <f>C206/$C$434</f>
        <v>1.0121207632871707E-3</v>
      </c>
      <c r="R206" s="1">
        <f t="shared" si="47"/>
        <v>0</v>
      </c>
      <c r="S206" s="1">
        <f t="shared" si="37"/>
        <v>0</v>
      </c>
      <c r="T206" s="1">
        <f t="shared" si="38"/>
        <v>0</v>
      </c>
      <c r="U206" s="1">
        <f t="shared" si="39"/>
        <v>0</v>
      </c>
      <c r="V206" s="1">
        <f t="shared" si="40"/>
        <v>0</v>
      </c>
      <c r="W206" s="1">
        <f t="shared" si="41"/>
        <v>0</v>
      </c>
      <c r="X206" s="1">
        <f t="shared" si="42"/>
        <v>0</v>
      </c>
      <c r="Y206" s="1">
        <f t="shared" si="43"/>
        <v>0</v>
      </c>
      <c r="Z206" s="1">
        <f t="shared" si="48"/>
        <v>0</v>
      </c>
      <c r="AA206" s="1">
        <f t="shared" si="44"/>
        <v>5.2574919259945419E-3</v>
      </c>
      <c r="AB206" s="1">
        <f t="shared" si="45"/>
        <v>0</v>
      </c>
      <c r="AC206" s="1">
        <f t="shared" si="46"/>
        <v>6.6106212403737761E-4</v>
      </c>
      <c r="AD206" s="1" t="str">
        <f t="shared" si="49"/>
        <v>NM AUTOMOBILES</v>
      </c>
      <c r="AE206" s="1" t="str">
        <f t="shared" si="50"/>
        <v>2528</v>
      </c>
      <c r="AF206" s="3">
        <f>Q206*Feuil2!$B$3</f>
        <v>35.803691031622598</v>
      </c>
      <c r="AG206" s="3">
        <f>R206*Feuil2!$C$3</f>
        <v>0</v>
      </c>
      <c r="AH206" s="3">
        <f>S206*Feuil2!$D$3</f>
        <v>0</v>
      </c>
      <c r="AI206" s="3">
        <f>T206*Feuil2!$E$2</f>
        <v>0</v>
      </c>
      <c r="AJ206" s="3">
        <f>U206*Feuil2!$F$3</f>
        <v>0</v>
      </c>
      <c r="AK206" s="3">
        <f>V206*Feuil2!$G$3</f>
        <v>0</v>
      </c>
      <c r="AL206" s="3">
        <f>W206*Feuil2!$H$3</f>
        <v>0</v>
      </c>
      <c r="AM206" s="3">
        <f>X206*Feuil2!$I$2</f>
        <v>0</v>
      </c>
      <c r="AN206" s="3">
        <f>Y206*Feuil2!$J$3</f>
        <v>0</v>
      </c>
      <c r="AO206" s="3">
        <f>Z206*Feuil2!$K$3</f>
        <v>0</v>
      </c>
      <c r="AP206" s="3">
        <f>AA206*Feuil2!$L$3</f>
        <v>191.14915754950806</v>
      </c>
      <c r="AQ206" s="3">
        <f>AB206*Feuil2!$M$3</f>
        <v>0</v>
      </c>
      <c r="AR206" s="3">
        <f>AC206*Feuil2!$N$3</f>
        <v>276.77777377453305</v>
      </c>
    </row>
    <row r="207" spans="1:44" x14ac:dyDescent="0.35">
      <c r="A207" t="s">
        <v>414</v>
      </c>
      <c r="B207" t="s">
        <v>415</v>
      </c>
      <c r="C207">
        <v>45</v>
      </c>
      <c r="D207">
        <v>0</v>
      </c>
      <c r="E207">
        <v>38</v>
      </c>
      <c r="F207">
        <v>0</v>
      </c>
      <c r="G207">
        <v>108</v>
      </c>
      <c r="H207">
        <v>0</v>
      </c>
      <c r="I207">
        <v>23</v>
      </c>
      <c r="J207">
        <v>0</v>
      </c>
      <c r="K207">
        <v>0</v>
      </c>
      <c r="L207">
        <v>37</v>
      </c>
      <c r="M207">
        <v>0</v>
      </c>
      <c r="N207">
        <v>0</v>
      </c>
      <c r="O207">
        <v>251</v>
      </c>
      <c r="Q207" s="1">
        <f>C207/$C$434</f>
        <v>1.1108642523883581E-3</v>
      </c>
      <c r="R207" s="1">
        <f t="shared" si="47"/>
        <v>0</v>
      </c>
      <c r="S207" s="1">
        <f t="shared" si="37"/>
        <v>1.2899283750297023E-3</v>
      </c>
      <c r="T207" s="1">
        <f t="shared" si="38"/>
        <v>0</v>
      </c>
      <c r="U207" s="1">
        <f t="shared" si="39"/>
        <v>5.1482505481933458E-3</v>
      </c>
      <c r="V207" s="1">
        <f t="shared" si="40"/>
        <v>0</v>
      </c>
      <c r="W207" s="1">
        <f t="shared" si="41"/>
        <v>5.1502530341708097E-4</v>
      </c>
      <c r="X207" s="1">
        <f t="shared" si="42"/>
        <v>0</v>
      </c>
      <c r="Y207" s="1">
        <f t="shared" si="43"/>
        <v>0</v>
      </c>
      <c r="Z207" s="1">
        <f t="shared" si="48"/>
        <v>9.3889565570442546E-4</v>
      </c>
      <c r="AA207" s="1">
        <f t="shared" si="44"/>
        <v>0</v>
      </c>
      <c r="AB207" s="1">
        <f t="shared" si="45"/>
        <v>0</v>
      </c>
      <c r="AC207" s="1">
        <f t="shared" si="46"/>
        <v>6.6106212403737761E-4</v>
      </c>
      <c r="AD207" s="1" t="str">
        <f t="shared" si="49"/>
        <v>QUETRON OLIVIER</v>
      </c>
      <c r="AE207" s="1" t="str">
        <f t="shared" si="50"/>
        <v>3701</v>
      </c>
      <c r="AF207" s="3">
        <f>Q207*Feuil2!$B$3</f>
        <v>39.296734059097972</v>
      </c>
      <c r="AG207" s="3">
        <f>R207*Feuil2!$C$3</f>
        <v>0</v>
      </c>
      <c r="AH207" s="3">
        <f>S207*Feuil2!$D$3</f>
        <v>50.691347296242235</v>
      </c>
      <c r="AI207" s="3">
        <f>T207*Feuil2!$E$2</f>
        <v>0</v>
      </c>
      <c r="AJ207" s="3">
        <f>U207*Feuil2!$F$3</f>
        <v>131.52956430546288</v>
      </c>
      <c r="AK207" s="3">
        <f>V207*Feuil2!$G$3</f>
        <v>0</v>
      </c>
      <c r="AL207" s="3">
        <f>W207*Feuil2!$H$3</f>
        <v>18.725022168480454</v>
      </c>
      <c r="AM207" s="3">
        <f>X207*Feuil2!$I$2</f>
        <v>0</v>
      </c>
      <c r="AN207" s="3">
        <f>Y207*Feuil2!$J$3</f>
        <v>0</v>
      </c>
      <c r="AO207" s="3">
        <f>Z207*Feuil2!$K$3</f>
        <v>37.825965286236297</v>
      </c>
      <c r="AP207" s="3">
        <f>AA207*Feuil2!$L$3</f>
        <v>0</v>
      </c>
      <c r="AQ207" s="3">
        <f>AB207*Feuil2!$M$3</f>
        <v>0</v>
      </c>
      <c r="AR207" s="3">
        <f>AC207*Feuil2!$N$3</f>
        <v>276.77777377453305</v>
      </c>
    </row>
    <row r="208" spans="1:44" x14ac:dyDescent="0.35">
      <c r="A208" t="s">
        <v>416</v>
      </c>
      <c r="B208" t="s">
        <v>417</v>
      </c>
      <c r="C208">
        <v>94</v>
      </c>
      <c r="D208">
        <v>60</v>
      </c>
      <c r="E208">
        <v>0</v>
      </c>
      <c r="F208">
        <v>0</v>
      </c>
      <c r="G208">
        <v>0</v>
      </c>
      <c r="H208">
        <v>63</v>
      </c>
      <c r="I208">
        <v>33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250</v>
      </c>
      <c r="Q208" s="1">
        <f>C208/$C$434</f>
        <v>2.3204719938779038E-3</v>
      </c>
      <c r="R208" s="1">
        <f t="shared" si="47"/>
        <v>2.5292976983390947E-3</v>
      </c>
      <c r="S208" s="1">
        <f t="shared" si="37"/>
        <v>0</v>
      </c>
      <c r="T208" s="1">
        <f t="shared" si="38"/>
        <v>0</v>
      </c>
      <c r="U208" s="1">
        <f t="shared" si="39"/>
        <v>0</v>
      </c>
      <c r="V208" s="1">
        <f t="shared" si="40"/>
        <v>2.1089277943293276E-3</v>
      </c>
      <c r="W208" s="1">
        <f t="shared" si="41"/>
        <v>7.3894934838102913E-4</v>
      </c>
      <c r="X208" s="1">
        <f t="shared" si="42"/>
        <v>0</v>
      </c>
      <c r="Y208" s="1">
        <f t="shared" si="43"/>
        <v>0</v>
      </c>
      <c r="Z208" s="1">
        <f t="shared" si="48"/>
        <v>0</v>
      </c>
      <c r="AA208" s="1">
        <f t="shared" si="44"/>
        <v>0</v>
      </c>
      <c r="AB208" s="1">
        <f t="shared" si="45"/>
        <v>0</v>
      </c>
      <c r="AC208" s="1">
        <f t="shared" si="46"/>
        <v>6.5842841039579446E-4</v>
      </c>
      <c r="AD208" s="1" t="str">
        <f t="shared" si="49"/>
        <v>GARAGE PASCAL JEANNE</v>
      </c>
      <c r="AE208" s="1" t="str">
        <f t="shared" si="50"/>
        <v>3722</v>
      </c>
      <c r="AF208" s="3">
        <f>Q208*Feuil2!$B$3</f>
        <v>82.086511145671338</v>
      </c>
      <c r="AG208" s="3">
        <f>R208*Feuil2!$C$3</f>
        <v>89.4737037349296</v>
      </c>
      <c r="AH208" s="3">
        <f>S208*Feuil2!$D$3</f>
        <v>0</v>
      </c>
      <c r="AI208" s="3">
        <f>T208*Feuil2!$E$2</f>
        <v>0</v>
      </c>
      <c r="AJ208" s="3">
        <f>U208*Feuil2!$F$3</f>
        <v>0</v>
      </c>
      <c r="AK208" s="3">
        <f>V208*Feuil2!$G$3</f>
        <v>84.963892478157547</v>
      </c>
      <c r="AL208" s="3">
        <f>W208*Feuil2!$H$3</f>
        <v>26.866336154776302</v>
      </c>
      <c r="AM208" s="3">
        <f>X208*Feuil2!$I$2</f>
        <v>0</v>
      </c>
      <c r="AN208" s="3">
        <f>Y208*Feuil2!$J$3</f>
        <v>0</v>
      </c>
      <c r="AO208" s="3">
        <f>Z208*Feuil2!$K$3</f>
        <v>0</v>
      </c>
      <c r="AP208" s="3">
        <f>AA208*Feuil2!$L$3</f>
        <v>0</v>
      </c>
      <c r="AQ208" s="3">
        <f>AB208*Feuil2!$M$3</f>
        <v>0</v>
      </c>
      <c r="AR208" s="3">
        <f>AC208*Feuil2!$N$3</f>
        <v>275.67507348061059</v>
      </c>
    </row>
    <row r="209" spans="1:44" x14ac:dyDescent="0.35">
      <c r="A209" t="s">
        <v>418</v>
      </c>
      <c r="B209" t="s">
        <v>419</v>
      </c>
      <c r="C209">
        <v>68</v>
      </c>
      <c r="D209">
        <v>72</v>
      </c>
      <c r="E209">
        <v>75</v>
      </c>
      <c r="F209">
        <v>0</v>
      </c>
      <c r="G209">
        <v>0</v>
      </c>
      <c r="H209">
        <v>6</v>
      </c>
      <c r="I209">
        <v>0</v>
      </c>
      <c r="J209">
        <v>0</v>
      </c>
      <c r="K209">
        <v>28</v>
      </c>
      <c r="L209">
        <v>0</v>
      </c>
      <c r="M209">
        <v>0</v>
      </c>
      <c r="N209">
        <v>0</v>
      </c>
      <c r="O209">
        <v>249</v>
      </c>
      <c r="Q209" s="1">
        <f>C209/$C$434</f>
        <v>1.6786393147201857E-3</v>
      </c>
      <c r="R209" s="1">
        <f t="shared" si="47"/>
        <v>3.0351572380069134E-3</v>
      </c>
      <c r="S209" s="1">
        <f t="shared" si="37"/>
        <v>2.5459112665059914E-3</v>
      </c>
      <c r="T209" s="1">
        <f t="shared" si="38"/>
        <v>0</v>
      </c>
      <c r="U209" s="1">
        <f t="shared" si="39"/>
        <v>0</v>
      </c>
      <c r="V209" s="1">
        <f t="shared" si="40"/>
        <v>2.0085026612660261E-4</v>
      </c>
      <c r="W209" s="1">
        <f t="shared" si="41"/>
        <v>0</v>
      </c>
      <c r="X209" s="1">
        <f t="shared" si="42"/>
        <v>0</v>
      </c>
      <c r="Y209" s="1">
        <f t="shared" si="43"/>
        <v>7.1660737593734806E-4</v>
      </c>
      <c r="Z209" s="1">
        <f t="shared" si="48"/>
        <v>0</v>
      </c>
      <c r="AA209" s="1">
        <f t="shared" si="44"/>
        <v>0</v>
      </c>
      <c r="AB209" s="1">
        <f t="shared" si="45"/>
        <v>0</v>
      </c>
      <c r="AC209" s="1">
        <f t="shared" si="46"/>
        <v>6.5579469675421131E-4</v>
      </c>
      <c r="AD209" s="1" t="str">
        <f t="shared" si="49"/>
        <v>OBBO CARROSSIERS</v>
      </c>
      <c r="AE209" s="1" t="str">
        <f t="shared" si="50"/>
        <v>5371</v>
      </c>
      <c r="AF209" s="3">
        <f>Q209*Feuil2!$B$3</f>
        <v>59.381731467081387</v>
      </c>
      <c r="AG209" s="3">
        <f>R209*Feuil2!$C$3</f>
        <v>107.36844448191552</v>
      </c>
      <c r="AH209" s="3">
        <f>S209*Feuil2!$D$3</f>
        <v>100.04871176889915</v>
      </c>
      <c r="AI209" s="3">
        <f>T209*Feuil2!$E$2</f>
        <v>0</v>
      </c>
      <c r="AJ209" s="3">
        <f>U209*Feuil2!$F$3</f>
        <v>0</v>
      </c>
      <c r="AK209" s="3">
        <f>V209*Feuil2!$G$3</f>
        <v>8.0917992836340513</v>
      </c>
      <c r="AL209" s="3">
        <f>W209*Feuil2!$H$3</f>
        <v>0</v>
      </c>
      <c r="AM209" s="3">
        <f>X209*Feuil2!$I$2</f>
        <v>0</v>
      </c>
      <c r="AN209" s="3">
        <f>Y209*Feuil2!$J$3</f>
        <v>30.278696798300619</v>
      </c>
      <c r="AO209" s="3">
        <f>Z209*Feuil2!$K$3</f>
        <v>0</v>
      </c>
      <c r="AP209" s="3">
        <f>AA209*Feuil2!$L$3</f>
        <v>0</v>
      </c>
      <c r="AQ209" s="3">
        <f>AB209*Feuil2!$M$3</f>
        <v>0</v>
      </c>
      <c r="AR209" s="3">
        <f>AC209*Feuil2!$N$3</f>
        <v>274.5723731866882</v>
      </c>
    </row>
    <row r="210" spans="1:44" x14ac:dyDescent="0.35">
      <c r="A210" t="s">
        <v>420</v>
      </c>
      <c r="B210" t="s">
        <v>421</v>
      </c>
      <c r="C210">
        <v>73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100</v>
      </c>
      <c r="L210">
        <v>70</v>
      </c>
      <c r="M210">
        <v>0</v>
      </c>
      <c r="N210">
        <v>0</v>
      </c>
      <c r="O210">
        <v>243</v>
      </c>
      <c r="Q210" s="1">
        <f>C210/$C$434</f>
        <v>1.80206867609667E-3</v>
      </c>
      <c r="R210" s="1">
        <f t="shared" si="47"/>
        <v>0</v>
      </c>
      <c r="S210" s="1">
        <f t="shared" si="37"/>
        <v>0</v>
      </c>
      <c r="T210" s="1">
        <f t="shared" si="38"/>
        <v>0</v>
      </c>
      <c r="U210" s="1">
        <f t="shared" si="39"/>
        <v>0</v>
      </c>
      <c r="V210" s="1">
        <f t="shared" si="40"/>
        <v>0</v>
      </c>
      <c r="W210" s="1">
        <f t="shared" si="41"/>
        <v>0</v>
      </c>
      <c r="X210" s="1">
        <f t="shared" si="42"/>
        <v>0</v>
      </c>
      <c r="Y210" s="1">
        <f t="shared" si="43"/>
        <v>2.5593120569191003E-3</v>
      </c>
      <c r="Z210" s="1">
        <f t="shared" si="48"/>
        <v>1.776289078359724E-3</v>
      </c>
      <c r="AA210" s="1">
        <f t="shared" si="44"/>
        <v>0</v>
      </c>
      <c r="AB210" s="1">
        <f t="shared" si="45"/>
        <v>0</v>
      </c>
      <c r="AC210" s="1">
        <f t="shared" si="46"/>
        <v>6.3999241490471229E-4</v>
      </c>
      <c r="AD210" s="1" t="str">
        <f t="shared" si="49"/>
        <v>VAL DE SAIRE AUTOMOBILES</v>
      </c>
      <c r="AE210" s="1" t="str">
        <f t="shared" si="50"/>
        <v>4004</v>
      </c>
      <c r="AF210" s="3">
        <f>Q210*Feuil2!$B$3</f>
        <v>63.748035251425605</v>
      </c>
      <c r="AG210" s="3">
        <f>R210*Feuil2!$C$3</f>
        <v>0</v>
      </c>
      <c r="AH210" s="3">
        <f>S210*Feuil2!$D$3</f>
        <v>0</v>
      </c>
      <c r="AI210" s="3">
        <f>T210*Feuil2!$E$2</f>
        <v>0</v>
      </c>
      <c r="AJ210" s="3">
        <f>U210*Feuil2!$F$3</f>
        <v>0</v>
      </c>
      <c r="AK210" s="3">
        <f>V210*Feuil2!$G$3</f>
        <v>0</v>
      </c>
      <c r="AL210" s="3">
        <f>W210*Feuil2!$H$3</f>
        <v>0</v>
      </c>
      <c r="AM210" s="3">
        <f>X210*Feuil2!$I$2</f>
        <v>0</v>
      </c>
      <c r="AN210" s="3">
        <f>Y210*Feuil2!$J$3</f>
        <v>108.13820285107364</v>
      </c>
      <c r="AO210" s="3">
        <f>Z210*Feuil2!$K$3</f>
        <v>71.56263702801462</v>
      </c>
      <c r="AP210" s="3">
        <f>AA210*Feuil2!$L$3</f>
        <v>0</v>
      </c>
      <c r="AQ210" s="3">
        <f>AB210*Feuil2!$M$3</f>
        <v>0</v>
      </c>
      <c r="AR210" s="3">
        <f>AC210*Feuil2!$N$3</f>
        <v>267.95617142315353</v>
      </c>
    </row>
    <row r="211" spans="1:44" x14ac:dyDescent="0.35">
      <c r="A211" t="s">
        <v>422</v>
      </c>
      <c r="B211" t="s">
        <v>423</v>
      </c>
      <c r="C211">
        <v>0</v>
      </c>
      <c r="D211">
        <v>0</v>
      </c>
      <c r="E211">
        <v>18</v>
      </c>
      <c r="F211">
        <v>0</v>
      </c>
      <c r="G211">
        <v>0</v>
      </c>
      <c r="H211">
        <v>74</v>
      </c>
      <c r="I211">
        <v>17</v>
      </c>
      <c r="J211">
        <v>0</v>
      </c>
      <c r="K211">
        <v>33</v>
      </c>
      <c r="L211">
        <v>80</v>
      </c>
      <c r="M211">
        <v>18</v>
      </c>
      <c r="N211">
        <v>0</v>
      </c>
      <c r="O211">
        <v>240</v>
      </c>
      <c r="Q211" s="1">
        <f>C211/$C$434</f>
        <v>0</v>
      </c>
      <c r="R211" s="1">
        <f t="shared" si="47"/>
        <v>0</v>
      </c>
      <c r="S211" s="1">
        <f t="shared" ref="S211:S274" si="51">E211/E$434</f>
        <v>6.1101870396143793E-4</v>
      </c>
      <c r="T211" s="1">
        <f t="shared" ref="T211:T274" si="52">F211/F$434</f>
        <v>0</v>
      </c>
      <c r="U211" s="1">
        <f t="shared" ref="U211:U274" si="53">G211/G$434</f>
        <v>0</v>
      </c>
      <c r="V211" s="1">
        <f t="shared" ref="V211:V274" si="54">H211/H$434</f>
        <v>2.4771532822280991E-3</v>
      </c>
      <c r="W211" s="1">
        <f t="shared" ref="W211:W274" si="55">I211/I$434</f>
        <v>3.8067087643871197E-4</v>
      </c>
      <c r="X211" s="1">
        <f t="shared" ref="X211:X274" si="56">J211/J$434</f>
        <v>0</v>
      </c>
      <c r="Y211" s="1">
        <f t="shared" ref="Y211:Y274" si="57">K211/K$434</f>
        <v>8.4457297878330303E-4</v>
      </c>
      <c r="Z211" s="1">
        <f t="shared" si="48"/>
        <v>2.0300446609825416E-3</v>
      </c>
      <c r="AA211" s="1">
        <f t="shared" si="44"/>
        <v>4.5064216508524648E-4</v>
      </c>
      <c r="AB211" s="1">
        <f t="shared" si="45"/>
        <v>0</v>
      </c>
      <c r="AC211" s="1">
        <f t="shared" si="46"/>
        <v>6.3209127397996273E-4</v>
      </c>
      <c r="AD211" s="1" t="str">
        <f t="shared" si="49"/>
        <v>CARROSSERIE LEROY</v>
      </c>
      <c r="AE211" s="1" t="str">
        <f t="shared" si="50"/>
        <v>3046</v>
      </c>
      <c r="AF211" s="3">
        <f>Q211*Feuil2!$B$3</f>
        <v>0</v>
      </c>
      <c r="AG211" s="3">
        <f>R211*Feuil2!$C$3</f>
        <v>0</v>
      </c>
      <c r="AH211" s="3">
        <f>S211*Feuil2!$D$3</f>
        <v>24.011690824535798</v>
      </c>
      <c r="AI211" s="3">
        <f>T211*Feuil2!$E$2</f>
        <v>0</v>
      </c>
      <c r="AJ211" s="3">
        <f>U211*Feuil2!$F$3</f>
        <v>0</v>
      </c>
      <c r="AK211" s="3">
        <f>V211*Feuil2!$G$3</f>
        <v>99.798857831486643</v>
      </c>
      <c r="AL211" s="3">
        <f>W211*Feuil2!$H$3</f>
        <v>13.840233776702943</v>
      </c>
      <c r="AM211" s="3">
        <f>X211*Feuil2!$I$2</f>
        <v>0</v>
      </c>
      <c r="AN211" s="3">
        <f>Y211*Feuil2!$J$3</f>
        <v>35.685606940854299</v>
      </c>
      <c r="AO211" s="3">
        <f>Z211*Feuil2!$K$3</f>
        <v>81.785870889159568</v>
      </c>
      <c r="AP211" s="3">
        <f>AA211*Feuil2!$L$3</f>
        <v>16.384213504243547</v>
      </c>
      <c r="AQ211" s="3">
        <f>AB211*Feuil2!$M$3</f>
        <v>0</v>
      </c>
      <c r="AR211" s="3">
        <f>AC211*Feuil2!$N$3</f>
        <v>264.64807054138623</v>
      </c>
    </row>
    <row r="212" spans="1:44" x14ac:dyDescent="0.35">
      <c r="A212" t="s">
        <v>424</v>
      </c>
      <c r="B212" t="s">
        <v>425</v>
      </c>
      <c r="C212">
        <v>240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240</v>
      </c>
      <c r="Q212" s="1">
        <f>C212/$C$434</f>
        <v>5.9246093460712437E-3</v>
      </c>
      <c r="R212" s="1">
        <f t="shared" si="47"/>
        <v>0</v>
      </c>
      <c r="S212" s="1">
        <f t="shared" si="51"/>
        <v>0</v>
      </c>
      <c r="T212" s="1">
        <f t="shared" si="52"/>
        <v>0</v>
      </c>
      <c r="U212" s="1">
        <f t="shared" si="53"/>
        <v>0</v>
      </c>
      <c r="V212" s="1">
        <f t="shared" si="54"/>
        <v>0</v>
      </c>
      <c r="W212" s="1">
        <f t="shared" si="55"/>
        <v>0</v>
      </c>
      <c r="X212" s="1">
        <f t="shared" si="56"/>
        <v>0</v>
      </c>
      <c r="Y212" s="1">
        <f t="shared" si="57"/>
        <v>0</v>
      </c>
      <c r="Z212" s="1">
        <f t="shared" si="48"/>
        <v>0</v>
      </c>
      <c r="AA212" s="1">
        <f t="shared" si="44"/>
        <v>0</v>
      </c>
      <c r="AB212" s="1">
        <f t="shared" si="45"/>
        <v>0</v>
      </c>
      <c r="AC212" s="1">
        <f t="shared" si="46"/>
        <v>6.3209127397996273E-4</v>
      </c>
      <c r="AD212" s="1" t="str">
        <f t="shared" si="49"/>
        <v>INSTITUT CAMILLE BLAISOT</v>
      </c>
      <c r="AE212" s="1" t="str">
        <f t="shared" si="50"/>
        <v>3747</v>
      </c>
      <c r="AF212" s="3">
        <f>Q212*Feuil2!$B$3</f>
        <v>209.58258164852253</v>
      </c>
      <c r="AG212" s="3">
        <f>R212*Feuil2!$C$3</f>
        <v>0</v>
      </c>
      <c r="AH212" s="3">
        <f>S212*Feuil2!$D$3</f>
        <v>0</v>
      </c>
      <c r="AI212" s="3">
        <f>T212*Feuil2!$E$2</f>
        <v>0</v>
      </c>
      <c r="AJ212" s="3">
        <f>U212*Feuil2!$F$3</f>
        <v>0</v>
      </c>
      <c r="AK212" s="3">
        <f>V212*Feuil2!$G$3</f>
        <v>0</v>
      </c>
      <c r="AL212" s="3">
        <f>W212*Feuil2!$H$3</f>
        <v>0</v>
      </c>
      <c r="AM212" s="3">
        <f>X212*Feuil2!$I$2</f>
        <v>0</v>
      </c>
      <c r="AN212" s="3">
        <f>Y212*Feuil2!$J$3</f>
        <v>0</v>
      </c>
      <c r="AO212" s="3">
        <f>Z212*Feuil2!$K$3</f>
        <v>0</v>
      </c>
      <c r="AP212" s="3">
        <f>AA212*Feuil2!$L$3</f>
        <v>0</v>
      </c>
      <c r="AQ212" s="3">
        <f>AB212*Feuil2!$M$3</f>
        <v>0</v>
      </c>
      <c r="AR212" s="3">
        <f>AC212*Feuil2!$N$3</f>
        <v>264.64807054138623</v>
      </c>
    </row>
    <row r="213" spans="1:44" x14ac:dyDescent="0.35">
      <c r="A213" t="s">
        <v>426</v>
      </c>
      <c r="B213" t="s">
        <v>427</v>
      </c>
      <c r="C213">
        <v>0</v>
      </c>
      <c r="D213">
        <v>0</v>
      </c>
      <c r="E213">
        <v>97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142</v>
      </c>
      <c r="M213">
        <v>0</v>
      </c>
      <c r="N213">
        <v>0</v>
      </c>
      <c r="O213">
        <v>239</v>
      </c>
      <c r="Q213" s="1">
        <f>C213/$C$434</f>
        <v>0</v>
      </c>
      <c r="R213" s="1">
        <f t="shared" si="47"/>
        <v>0</v>
      </c>
      <c r="S213" s="1">
        <f t="shared" si="51"/>
        <v>3.292711904681082E-3</v>
      </c>
      <c r="T213" s="1">
        <f t="shared" si="52"/>
        <v>0</v>
      </c>
      <c r="U213" s="1">
        <f t="shared" si="53"/>
        <v>0</v>
      </c>
      <c r="V213" s="1">
        <f t="shared" si="54"/>
        <v>0</v>
      </c>
      <c r="W213" s="1">
        <f t="shared" si="55"/>
        <v>0</v>
      </c>
      <c r="X213" s="1">
        <f t="shared" si="56"/>
        <v>0</v>
      </c>
      <c r="Y213" s="1">
        <f t="shared" si="57"/>
        <v>0</v>
      </c>
      <c r="Z213" s="1">
        <f t="shared" si="48"/>
        <v>3.6033292732440114E-3</v>
      </c>
      <c r="AA213" s="1">
        <f t="shared" si="44"/>
        <v>0</v>
      </c>
      <c r="AB213" s="1">
        <f t="shared" si="45"/>
        <v>0</v>
      </c>
      <c r="AC213" s="1">
        <f t="shared" si="46"/>
        <v>6.2945756033837958E-4</v>
      </c>
      <c r="AD213" s="1" t="str">
        <f t="shared" si="49"/>
        <v>JARRY</v>
      </c>
      <c r="AE213" s="1" t="str">
        <f t="shared" si="50"/>
        <v>3280</v>
      </c>
      <c r="AF213" s="3">
        <f>Q213*Feuil2!$B$3</f>
        <v>0</v>
      </c>
      <c r="AG213" s="3">
        <f>R213*Feuil2!$C$3</f>
        <v>0</v>
      </c>
      <c r="AH213" s="3">
        <f>S213*Feuil2!$D$3</f>
        <v>129.39633388777622</v>
      </c>
      <c r="AI213" s="3">
        <f>T213*Feuil2!$E$2</f>
        <v>0</v>
      </c>
      <c r="AJ213" s="3">
        <f>U213*Feuil2!$F$3</f>
        <v>0</v>
      </c>
      <c r="AK213" s="3">
        <f>V213*Feuil2!$G$3</f>
        <v>0</v>
      </c>
      <c r="AL213" s="3">
        <f>W213*Feuil2!$H$3</f>
        <v>0</v>
      </c>
      <c r="AM213" s="3">
        <f>X213*Feuil2!$I$2</f>
        <v>0</v>
      </c>
      <c r="AN213" s="3">
        <f>Y213*Feuil2!$J$3</f>
        <v>0</v>
      </c>
      <c r="AO213" s="3">
        <f>Z213*Feuil2!$K$3</f>
        <v>145.16992082825823</v>
      </c>
      <c r="AP213" s="3">
        <f>AA213*Feuil2!$L$3</f>
        <v>0</v>
      </c>
      <c r="AQ213" s="3">
        <f>AB213*Feuil2!$M$3</f>
        <v>0</v>
      </c>
      <c r="AR213" s="3">
        <f>AC213*Feuil2!$N$3</f>
        <v>263.54537024746378</v>
      </c>
    </row>
    <row r="214" spans="1:44" x14ac:dyDescent="0.35">
      <c r="A214" t="s">
        <v>428</v>
      </c>
      <c r="B214" t="s">
        <v>200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118</v>
      </c>
      <c r="M214">
        <v>120</v>
      </c>
      <c r="N214">
        <v>0</v>
      </c>
      <c r="O214">
        <v>238</v>
      </c>
      <c r="Q214" s="1">
        <f>C214/$C$434</f>
        <v>0</v>
      </c>
      <c r="R214" s="1">
        <f t="shared" si="47"/>
        <v>0</v>
      </c>
      <c r="S214" s="1">
        <f t="shared" si="51"/>
        <v>0</v>
      </c>
      <c r="T214" s="1">
        <f t="shared" si="52"/>
        <v>0</v>
      </c>
      <c r="U214" s="1">
        <f t="shared" si="53"/>
        <v>0</v>
      </c>
      <c r="V214" s="1">
        <f t="shared" si="54"/>
        <v>0</v>
      </c>
      <c r="W214" s="1">
        <f t="shared" si="55"/>
        <v>0</v>
      </c>
      <c r="X214" s="1">
        <f t="shared" si="56"/>
        <v>0</v>
      </c>
      <c r="Y214" s="1">
        <f t="shared" si="57"/>
        <v>0</v>
      </c>
      <c r="Z214" s="1">
        <f t="shared" si="48"/>
        <v>2.9943158749492489E-3</v>
      </c>
      <c r="AA214" s="1">
        <f t="shared" si="44"/>
        <v>3.0042811005683099E-3</v>
      </c>
      <c r="AB214" s="1">
        <f t="shared" si="45"/>
        <v>0</v>
      </c>
      <c r="AC214" s="1">
        <f t="shared" si="46"/>
        <v>6.2682384669679632E-4</v>
      </c>
      <c r="AD214" s="1" t="str">
        <f t="shared" si="49"/>
        <v>SAS BESSIN AUTOMOBILES</v>
      </c>
      <c r="AE214" s="1" t="str">
        <f t="shared" si="50"/>
        <v>2165</v>
      </c>
      <c r="AF214" s="3">
        <f>Q214*Feuil2!$B$3</f>
        <v>0</v>
      </c>
      <c r="AG214" s="3">
        <f>R214*Feuil2!$C$3</f>
        <v>0</v>
      </c>
      <c r="AH214" s="3">
        <f>S214*Feuil2!$D$3</f>
        <v>0</v>
      </c>
      <c r="AI214" s="3">
        <f>T214*Feuil2!$E$2</f>
        <v>0</v>
      </c>
      <c r="AJ214" s="3">
        <f>U214*Feuil2!$F$3</f>
        <v>0</v>
      </c>
      <c r="AK214" s="3">
        <f>V214*Feuil2!$G$3</f>
        <v>0</v>
      </c>
      <c r="AL214" s="3">
        <f>W214*Feuil2!$H$3</f>
        <v>0</v>
      </c>
      <c r="AM214" s="3">
        <f>X214*Feuil2!$I$2</f>
        <v>0</v>
      </c>
      <c r="AN214" s="3">
        <f>Y214*Feuil2!$J$3</f>
        <v>0</v>
      </c>
      <c r="AO214" s="3">
        <f>Z214*Feuil2!$K$3</f>
        <v>120.63415956151036</v>
      </c>
      <c r="AP214" s="3">
        <f>AA214*Feuil2!$L$3</f>
        <v>109.22809002829032</v>
      </c>
      <c r="AQ214" s="3">
        <f>AB214*Feuil2!$M$3</f>
        <v>0</v>
      </c>
      <c r="AR214" s="3">
        <f>AC214*Feuil2!$N$3</f>
        <v>262.44266995354133</v>
      </c>
    </row>
    <row r="215" spans="1:44" x14ac:dyDescent="0.35">
      <c r="A215" t="s">
        <v>429</v>
      </c>
      <c r="B215" t="s">
        <v>430</v>
      </c>
      <c r="C215">
        <v>207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29</v>
      </c>
      <c r="N215">
        <v>0</v>
      </c>
      <c r="O215">
        <v>236</v>
      </c>
      <c r="Q215" s="1">
        <f>C215/$C$434</f>
        <v>5.1099755609864475E-3</v>
      </c>
      <c r="R215" s="1">
        <f t="shared" si="47"/>
        <v>0</v>
      </c>
      <c r="S215" s="1">
        <f t="shared" si="51"/>
        <v>0</v>
      </c>
      <c r="T215" s="1">
        <f t="shared" si="52"/>
        <v>0</v>
      </c>
      <c r="U215" s="1">
        <f t="shared" si="53"/>
        <v>0</v>
      </c>
      <c r="V215" s="1">
        <f t="shared" si="54"/>
        <v>0</v>
      </c>
      <c r="W215" s="1">
        <f t="shared" si="55"/>
        <v>0</v>
      </c>
      <c r="X215" s="1">
        <f t="shared" si="56"/>
        <v>0</v>
      </c>
      <c r="Y215" s="1">
        <f t="shared" si="57"/>
        <v>0</v>
      </c>
      <c r="Z215" s="1">
        <f t="shared" si="48"/>
        <v>0</v>
      </c>
      <c r="AA215" s="1">
        <f t="shared" si="44"/>
        <v>7.2603459930400819E-4</v>
      </c>
      <c r="AB215" s="1">
        <f t="shared" si="45"/>
        <v>0</v>
      </c>
      <c r="AC215" s="1">
        <f t="shared" si="46"/>
        <v>6.2155641941363002E-4</v>
      </c>
      <c r="AD215" s="1" t="str">
        <f t="shared" si="49"/>
        <v>BMN NIGNOL</v>
      </c>
      <c r="AE215" s="1" t="str">
        <f t="shared" si="50"/>
        <v>4008</v>
      </c>
      <c r="AF215" s="3">
        <f>Q215*Feuil2!$B$3</f>
        <v>180.76497667185069</v>
      </c>
      <c r="AG215" s="3">
        <f>R215*Feuil2!$C$3</f>
        <v>0</v>
      </c>
      <c r="AH215" s="3">
        <f>S215*Feuil2!$D$3</f>
        <v>0</v>
      </c>
      <c r="AI215" s="3">
        <f>T215*Feuil2!$E$2</f>
        <v>0</v>
      </c>
      <c r="AJ215" s="3">
        <f>U215*Feuil2!$F$3</f>
        <v>0</v>
      </c>
      <c r="AK215" s="3">
        <f>V215*Feuil2!$G$3</f>
        <v>0</v>
      </c>
      <c r="AL215" s="3">
        <f>W215*Feuil2!$H$3</f>
        <v>0</v>
      </c>
      <c r="AM215" s="3">
        <f>X215*Feuil2!$I$2</f>
        <v>0</v>
      </c>
      <c r="AN215" s="3">
        <f>Y215*Feuil2!$J$3</f>
        <v>0</v>
      </c>
      <c r="AO215" s="3">
        <f>Z215*Feuil2!$K$3</f>
        <v>0</v>
      </c>
      <c r="AP215" s="3">
        <f>AA215*Feuil2!$L$3</f>
        <v>26.396788423503494</v>
      </c>
      <c r="AQ215" s="3">
        <f>AB215*Feuil2!$M$3</f>
        <v>0</v>
      </c>
      <c r="AR215" s="3">
        <f>AC215*Feuil2!$N$3</f>
        <v>260.23726936569642</v>
      </c>
    </row>
    <row r="216" spans="1:44" x14ac:dyDescent="0.35">
      <c r="A216" t="s">
        <v>431</v>
      </c>
      <c r="B216" t="s">
        <v>432</v>
      </c>
      <c r="C216">
        <v>235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235</v>
      </c>
      <c r="Q216" s="1">
        <f>C216/$C$434</f>
        <v>5.8011799846947589E-3</v>
      </c>
      <c r="R216" s="1">
        <f t="shared" si="47"/>
        <v>0</v>
      </c>
      <c r="S216" s="1">
        <f t="shared" si="51"/>
        <v>0</v>
      </c>
      <c r="T216" s="1">
        <f t="shared" si="52"/>
        <v>0</v>
      </c>
      <c r="U216" s="1">
        <f t="shared" si="53"/>
        <v>0</v>
      </c>
      <c r="V216" s="1">
        <f t="shared" si="54"/>
        <v>0</v>
      </c>
      <c r="W216" s="1">
        <f t="shared" si="55"/>
        <v>0</v>
      </c>
      <c r="X216" s="1">
        <f t="shared" si="56"/>
        <v>0</v>
      </c>
      <c r="Y216" s="1">
        <f t="shared" si="57"/>
        <v>0</v>
      </c>
      <c r="Z216" s="1">
        <f t="shared" si="48"/>
        <v>0</v>
      </c>
      <c r="AA216" s="1">
        <f t="shared" si="44"/>
        <v>0</v>
      </c>
      <c r="AB216" s="1">
        <f t="shared" si="45"/>
        <v>0</v>
      </c>
      <c r="AC216" s="1">
        <f t="shared" si="46"/>
        <v>6.1892270577204686E-4</v>
      </c>
      <c r="AD216" s="1" t="str">
        <f t="shared" si="49"/>
        <v>GUIHENEUC EURL</v>
      </c>
      <c r="AE216" s="1" t="str">
        <f t="shared" si="50"/>
        <v>6175</v>
      </c>
      <c r="AF216" s="3">
        <f>Q216*Feuil2!$B$3</f>
        <v>205.21627786417832</v>
      </c>
      <c r="AG216" s="3">
        <f>R216*Feuil2!$C$3</f>
        <v>0</v>
      </c>
      <c r="AH216" s="3">
        <f>S216*Feuil2!$D$3</f>
        <v>0</v>
      </c>
      <c r="AI216" s="3">
        <f>T216*Feuil2!$E$2</f>
        <v>0</v>
      </c>
      <c r="AJ216" s="3">
        <f>U216*Feuil2!$F$3</f>
        <v>0</v>
      </c>
      <c r="AK216" s="3">
        <f>V216*Feuil2!$G$3</f>
        <v>0</v>
      </c>
      <c r="AL216" s="3">
        <f>W216*Feuil2!$H$3</f>
        <v>0</v>
      </c>
      <c r="AM216" s="3">
        <f>X216*Feuil2!$I$2</f>
        <v>0</v>
      </c>
      <c r="AN216" s="3">
        <f>Y216*Feuil2!$J$3</f>
        <v>0</v>
      </c>
      <c r="AO216" s="3">
        <f>Z216*Feuil2!$K$3</f>
        <v>0</v>
      </c>
      <c r="AP216" s="3">
        <f>AA216*Feuil2!$L$3</f>
        <v>0</v>
      </c>
      <c r="AQ216" s="3">
        <f>AB216*Feuil2!$M$3</f>
        <v>0</v>
      </c>
      <c r="AR216" s="3">
        <f>AC216*Feuil2!$N$3</f>
        <v>259.13456907177402</v>
      </c>
    </row>
    <row r="217" spans="1:44" x14ac:dyDescent="0.35">
      <c r="A217" t="s">
        <v>433</v>
      </c>
      <c r="B217" t="s">
        <v>434</v>
      </c>
      <c r="C217">
        <v>81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16</v>
      </c>
      <c r="J217">
        <v>0</v>
      </c>
      <c r="K217">
        <v>108</v>
      </c>
      <c r="L217">
        <v>0</v>
      </c>
      <c r="M217">
        <v>28</v>
      </c>
      <c r="N217">
        <v>0</v>
      </c>
      <c r="O217">
        <v>233</v>
      </c>
      <c r="Q217" s="1">
        <f>C217/$C$434</f>
        <v>1.9995556542990447E-3</v>
      </c>
      <c r="R217" s="1">
        <f t="shared" si="47"/>
        <v>0</v>
      </c>
      <c r="S217" s="1">
        <f t="shared" si="51"/>
        <v>0</v>
      </c>
      <c r="T217" s="1">
        <f t="shared" si="52"/>
        <v>0</v>
      </c>
      <c r="U217" s="1">
        <f t="shared" si="53"/>
        <v>0</v>
      </c>
      <c r="V217" s="1">
        <f t="shared" si="54"/>
        <v>0</v>
      </c>
      <c r="W217" s="1">
        <f t="shared" si="55"/>
        <v>3.5827847194231716E-4</v>
      </c>
      <c r="X217" s="1">
        <f t="shared" si="56"/>
        <v>0</v>
      </c>
      <c r="Y217" s="1">
        <f t="shared" si="57"/>
        <v>2.7640570214726282E-3</v>
      </c>
      <c r="Z217" s="1">
        <f t="shared" si="48"/>
        <v>0</v>
      </c>
      <c r="AA217" s="1">
        <f t="shared" si="44"/>
        <v>7.0099892346593901E-4</v>
      </c>
      <c r="AB217" s="1">
        <f t="shared" si="45"/>
        <v>0</v>
      </c>
      <c r="AC217" s="1">
        <f t="shared" si="46"/>
        <v>6.1365527848888045E-4</v>
      </c>
      <c r="AD217" s="1" t="str">
        <f t="shared" si="49"/>
        <v>LES VACHES NOIRES</v>
      </c>
      <c r="AE217" s="1" t="str">
        <f t="shared" si="50"/>
        <v>5198</v>
      </c>
      <c r="AF217" s="3">
        <f>Q217*Feuil2!$B$3</f>
        <v>70.734121306376366</v>
      </c>
      <c r="AG217" s="3">
        <f>R217*Feuil2!$C$3</f>
        <v>0</v>
      </c>
      <c r="AH217" s="3">
        <f>S217*Feuil2!$D$3</f>
        <v>0</v>
      </c>
      <c r="AI217" s="3">
        <f>T217*Feuil2!$E$2</f>
        <v>0</v>
      </c>
      <c r="AJ217" s="3">
        <f>U217*Feuil2!$F$3</f>
        <v>0</v>
      </c>
      <c r="AK217" s="3">
        <f>V217*Feuil2!$G$3</f>
        <v>0</v>
      </c>
      <c r="AL217" s="3">
        <f>W217*Feuil2!$H$3</f>
        <v>13.026102378073359</v>
      </c>
      <c r="AM217" s="3">
        <f>X217*Feuil2!$I$2</f>
        <v>0</v>
      </c>
      <c r="AN217" s="3">
        <f>Y217*Feuil2!$J$3</f>
        <v>116.78925907915954</v>
      </c>
      <c r="AO217" s="3">
        <f>Z217*Feuil2!$K$3</f>
        <v>0</v>
      </c>
      <c r="AP217" s="3">
        <f>AA217*Feuil2!$L$3</f>
        <v>25.486554339934411</v>
      </c>
      <c r="AQ217" s="3">
        <f>AB217*Feuil2!$M$3</f>
        <v>0</v>
      </c>
      <c r="AR217" s="3">
        <f>AC217*Feuil2!$N$3</f>
        <v>256.92916848392912</v>
      </c>
    </row>
    <row r="218" spans="1:44" x14ac:dyDescent="0.35">
      <c r="A218" t="s">
        <v>435</v>
      </c>
      <c r="B218" t="s">
        <v>436</v>
      </c>
      <c r="C218">
        <v>0</v>
      </c>
      <c r="D218">
        <v>0</v>
      </c>
      <c r="E218">
        <v>0</v>
      </c>
      <c r="F218">
        <v>0</v>
      </c>
      <c r="G218">
        <v>65</v>
      </c>
      <c r="H218">
        <v>0</v>
      </c>
      <c r="I218">
        <v>0</v>
      </c>
      <c r="J218">
        <v>0</v>
      </c>
      <c r="K218">
        <v>0</v>
      </c>
      <c r="L218">
        <v>94</v>
      </c>
      <c r="M218">
        <v>74</v>
      </c>
      <c r="N218">
        <v>0</v>
      </c>
      <c r="O218">
        <v>233</v>
      </c>
      <c r="Q218" s="1">
        <f>C218/$C$434</f>
        <v>0</v>
      </c>
      <c r="R218" s="1">
        <f t="shared" si="47"/>
        <v>0</v>
      </c>
      <c r="S218" s="1">
        <f t="shared" si="51"/>
        <v>0</v>
      </c>
      <c r="T218" s="1">
        <f t="shared" si="52"/>
        <v>0</v>
      </c>
      <c r="U218" s="1">
        <f t="shared" si="53"/>
        <v>3.0984841262274763E-3</v>
      </c>
      <c r="V218" s="1">
        <f t="shared" si="54"/>
        <v>0</v>
      </c>
      <c r="W218" s="1">
        <f t="shared" si="55"/>
        <v>0</v>
      </c>
      <c r="X218" s="1">
        <f t="shared" si="56"/>
        <v>0</v>
      </c>
      <c r="Y218" s="1">
        <f t="shared" si="57"/>
        <v>0</v>
      </c>
      <c r="Z218" s="1">
        <f t="shared" si="48"/>
        <v>2.3853024766544864E-3</v>
      </c>
      <c r="AA218" s="1">
        <f t="shared" si="44"/>
        <v>1.8526400120171245E-3</v>
      </c>
      <c r="AB218" s="1">
        <f t="shared" si="45"/>
        <v>0</v>
      </c>
      <c r="AC218" s="1">
        <f t="shared" si="46"/>
        <v>6.1365527848888045E-4</v>
      </c>
      <c r="AD218" s="1" t="str">
        <f t="shared" si="49"/>
        <v>MAIRIE DE DEAUVILLE</v>
      </c>
      <c r="AE218" s="1" t="str">
        <f t="shared" si="50"/>
        <v>5828</v>
      </c>
      <c r="AF218" s="3">
        <f>Q218*Feuil2!$B$3</f>
        <v>0</v>
      </c>
      <c r="AG218" s="3">
        <f>R218*Feuil2!$C$3</f>
        <v>0</v>
      </c>
      <c r="AH218" s="3">
        <f>S218*Feuil2!$D$3</f>
        <v>0</v>
      </c>
      <c r="AI218" s="3">
        <f>T218*Feuil2!$E$2</f>
        <v>0</v>
      </c>
      <c r="AJ218" s="3">
        <f>U218*Feuil2!$F$3</f>
        <v>79.16131185051006</v>
      </c>
      <c r="AK218" s="3">
        <f>V218*Feuil2!$G$3</f>
        <v>0</v>
      </c>
      <c r="AL218" s="3">
        <f>W218*Feuil2!$H$3</f>
        <v>0</v>
      </c>
      <c r="AM218" s="3">
        <f>X218*Feuil2!$I$2</f>
        <v>0</v>
      </c>
      <c r="AN218" s="3">
        <f>Y218*Feuil2!$J$3</f>
        <v>0</v>
      </c>
      <c r="AO218" s="3">
        <f>Z218*Feuil2!$K$3</f>
        <v>96.09839829476249</v>
      </c>
      <c r="AP218" s="3">
        <f>AA218*Feuil2!$L$3</f>
        <v>67.357322184112377</v>
      </c>
      <c r="AQ218" s="3">
        <f>AB218*Feuil2!$M$3</f>
        <v>0</v>
      </c>
      <c r="AR218" s="3">
        <f>AC218*Feuil2!$N$3</f>
        <v>256.92916848392912</v>
      </c>
    </row>
    <row r="219" spans="1:44" x14ac:dyDescent="0.35">
      <c r="A219" t="s">
        <v>437</v>
      </c>
      <c r="B219" t="s">
        <v>438</v>
      </c>
      <c r="C219">
        <v>229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229</v>
      </c>
      <c r="Q219" s="1">
        <f>C219/$C$434</f>
        <v>5.653064751042978E-3</v>
      </c>
      <c r="R219" s="1">
        <f t="shared" si="47"/>
        <v>0</v>
      </c>
      <c r="S219" s="1">
        <f t="shared" si="51"/>
        <v>0</v>
      </c>
      <c r="T219" s="1">
        <f t="shared" si="52"/>
        <v>0</v>
      </c>
      <c r="U219" s="1">
        <f t="shared" si="53"/>
        <v>0</v>
      </c>
      <c r="V219" s="1">
        <f t="shared" si="54"/>
        <v>0</v>
      </c>
      <c r="W219" s="1">
        <f t="shared" si="55"/>
        <v>0</v>
      </c>
      <c r="X219" s="1">
        <f t="shared" si="56"/>
        <v>0</v>
      </c>
      <c r="Y219" s="1">
        <f t="shared" si="57"/>
        <v>0</v>
      </c>
      <c r="Z219" s="1">
        <f t="shared" si="48"/>
        <v>0</v>
      </c>
      <c r="AA219" s="1">
        <f t="shared" si="44"/>
        <v>0</v>
      </c>
      <c r="AB219" s="1">
        <f t="shared" si="45"/>
        <v>0</v>
      </c>
      <c r="AC219" s="1">
        <f t="shared" si="46"/>
        <v>6.0312042392254774E-4</v>
      </c>
      <c r="AD219" s="1" t="str">
        <f t="shared" si="49"/>
        <v>EURL FLEURY CARROSSERIE</v>
      </c>
      <c r="AE219" s="1" t="str">
        <f t="shared" si="50"/>
        <v>5774</v>
      </c>
      <c r="AF219" s="3">
        <f>Q219*Feuil2!$B$3</f>
        <v>199.97671332296525</v>
      </c>
      <c r="AG219" s="3">
        <f>R219*Feuil2!$C$3</f>
        <v>0</v>
      </c>
      <c r="AH219" s="3">
        <f>S219*Feuil2!$D$3</f>
        <v>0</v>
      </c>
      <c r="AI219" s="3">
        <f>T219*Feuil2!$E$2</f>
        <v>0</v>
      </c>
      <c r="AJ219" s="3">
        <f>U219*Feuil2!$F$3</f>
        <v>0</v>
      </c>
      <c r="AK219" s="3">
        <f>V219*Feuil2!$G$3</f>
        <v>0</v>
      </c>
      <c r="AL219" s="3">
        <f>W219*Feuil2!$H$3</f>
        <v>0</v>
      </c>
      <c r="AM219" s="3">
        <f>X219*Feuil2!$I$2</f>
        <v>0</v>
      </c>
      <c r="AN219" s="3">
        <f>Y219*Feuil2!$J$3</f>
        <v>0</v>
      </c>
      <c r="AO219" s="3">
        <f>Z219*Feuil2!$K$3</f>
        <v>0</v>
      </c>
      <c r="AP219" s="3">
        <f>AA219*Feuil2!$L$3</f>
        <v>0</v>
      </c>
      <c r="AQ219" s="3">
        <f>AB219*Feuil2!$M$3</f>
        <v>0</v>
      </c>
      <c r="AR219" s="3">
        <f>AC219*Feuil2!$N$3</f>
        <v>252.51836730823933</v>
      </c>
    </row>
    <row r="220" spans="1:44" x14ac:dyDescent="0.35">
      <c r="A220" t="s">
        <v>439</v>
      </c>
      <c r="B220" t="s">
        <v>440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96</v>
      </c>
      <c r="J220">
        <v>0</v>
      </c>
      <c r="K220">
        <v>0</v>
      </c>
      <c r="L220">
        <v>0</v>
      </c>
      <c r="M220">
        <v>133</v>
      </c>
      <c r="N220">
        <v>0</v>
      </c>
      <c r="O220">
        <v>229</v>
      </c>
      <c r="Q220" s="1">
        <f>C220/$C$434</f>
        <v>0</v>
      </c>
      <c r="R220" s="1">
        <f t="shared" si="47"/>
        <v>0</v>
      </c>
      <c r="S220" s="1">
        <f t="shared" si="51"/>
        <v>0</v>
      </c>
      <c r="T220" s="1">
        <f t="shared" si="52"/>
        <v>0</v>
      </c>
      <c r="U220" s="1">
        <f t="shared" si="53"/>
        <v>0</v>
      </c>
      <c r="V220" s="1">
        <f t="shared" si="54"/>
        <v>0</v>
      </c>
      <c r="W220" s="1">
        <f t="shared" si="55"/>
        <v>2.1496708316539031E-3</v>
      </c>
      <c r="X220" s="1">
        <f t="shared" si="56"/>
        <v>0</v>
      </c>
      <c r="Y220" s="1">
        <f t="shared" si="57"/>
        <v>0</v>
      </c>
      <c r="Z220" s="1">
        <f t="shared" si="48"/>
        <v>0</v>
      </c>
      <c r="AA220" s="1">
        <f t="shared" si="44"/>
        <v>3.3297448864632101E-3</v>
      </c>
      <c r="AB220" s="1">
        <f t="shared" si="45"/>
        <v>0</v>
      </c>
      <c r="AC220" s="1">
        <f t="shared" si="46"/>
        <v>6.0312042392254774E-4</v>
      </c>
      <c r="AD220" s="1" t="str">
        <f t="shared" si="49"/>
        <v>PIERRE VARIGNON JSPV</v>
      </c>
      <c r="AE220" s="1" t="str">
        <f t="shared" si="50"/>
        <v>3211</v>
      </c>
      <c r="AF220" s="3">
        <f>Q220*Feuil2!$B$3</f>
        <v>0</v>
      </c>
      <c r="AG220" s="3">
        <f>R220*Feuil2!$C$3</f>
        <v>0</v>
      </c>
      <c r="AH220" s="3">
        <f>S220*Feuil2!$D$3</f>
        <v>0</v>
      </c>
      <c r="AI220" s="3">
        <f>T220*Feuil2!$E$2</f>
        <v>0</v>
      </c>
      <c r="AJ220" s="3">
        <f>U220*Feuil2!$F$3</f>
        <v>0</v>
      </c>
      <c r="AK220" s="3">
        <f>V220*Feuil2!$G$3</f>
        <v>0</v>
      </c>
      <c r="AL220" s="3">
        <f>W220*Feuil2!$H$3</f>
        <v>78.156614268440151</v>
      </c>
      <c r="AM220" s="3">
        <f>X220*Feuil2!$I$2</f>
        <v>0</v>
      </c>
      <c r="AN220" s="3">
        <f>Y220*Feuil2!$J$3</f>
        <v>0</v>
      </c>
      <c r="AO220" s="3">
        <f>Z220*Feuil2!$K$3</f>
        <v>0</v>
      </c>
      <c r="AP220" s="3">
        <f>AA220*Feuil2!$L$3</f>
        <v>121.06113311468845</v>
      </c>
      <c r="AQ220" s="3">
        <f>AB220*Feuil2!$M$3</f>
        <v>0</v>
      </c>
      <c r="AR220" s="3">
        <f>AC220*Feuil2!$N$3</f>
        <v>252.51836730823933</v>
      </c>
    </row>
    <row r="221" spans="1:44" x14ac:dyDescent="0.35">
      <c r="A221" t="s">
        <v>441</v>
      </c>
      <c r="B221" t="s">
        <v>442</v>
      </c>
      <c r="C221">
        <v>74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152</v>
      </c>
      <c r="N221">
        <v>0</v>
      </c>
      <c r="O221">
        <v>226</v>
      </c>
      <c r="Q221" s="1">
        <f>C221/$C$434</f>
        <v>1.8267545483719666E-3</v>
      </c>
      <c r="R221" s="1">
        <f t="shared" si="47"/>
        <v>0</v>
      </c>
      <c r="S221" s="1">
        <f t="shared" si="51"/>
        <v>0</v>
      </c>
      <c r="T221" s="1">
        <f t="shared" si="52"/>
        <v>0</v>
      </c>
      <c r="U221" s="1">
        <f t="shared" si="53"/>
        <v>0</v>
      </c>
      <c r="V221" s="1">
        <f t="shared" si="54"/>
        <v>0</v>
      </c>
      <c r="W221" s="1">
        <f t="shared" si="55"/>
        <v>0</v>
      </c>
      <c r="X221" s="1">
        <f t="shared" si="56"/>
        <v>0</v>
      </c>
      <c r="Y221" s="1">
        <f t="shared" si="57"/>
        <v>0</v>
      </c>
      <c r="Z221" s="1">
        <f t="shared" si="48"/>
        <v>0</v>
      </c>
      <c r="AA221" s="1">
        <f t="shared" si="44"/>
        <v>3.8054227273865257E-3</v>
      </c>
      <c r="AB221" s="1">
        <f t="shared" si="45"/>
        <v>0</v>
      </c>
      <c r="AC221" s="1">
        <f t="shared" si="46"/>
        <v>5.9521928299779818E-4</v>
      </c>
      <c r="AD221" s="1" t="str">
        <f t="shared" si="49"/>
        <v>JSB AUTO</v>
      </c>
      <c r="AE221" s="1" t="str">
        <f t="shared" si="50"/>
        <v>2022</v>
      </c>
      <c r="AF221" s="3">
        <f>Q221*Feuil2!$B$3</f>
        <v>64.621296008294451</v>
      </c>
      <c r="AG221" s="3">
        <f>R221*Feuil2!$C$3</f>
        <v>0</v>
      </c>
      <c r="AH221" s="3">
        <f>S221*Feuil2!$D$3</f>
        <v>0</v>
      </c>
      <c r="AI221" s="3">
        <f>T221*Feuil2!$E$2</f>
        <v>0</v>
      </c>
      <c r="AJ221" s="3">
        <f>U221*Feuil2!$F$3</f>
        <v>0</v>
      </c>
      <c r="AK221" s="3">
        <f>V221*Feuil2!$G$3</f>
        <v>0</v>
      </c>
      <c r="AL221" s="3">
        <f>W221*Feuil2!$H$3</f>
        <v>0</v>
      </c>
      <c r="AM221" s="3">
        <f>X221*Feuil2!$I$2</f>
        <v>0</v>
      </c>
      <c r="AN221" s="3">
        <f>Y221*Feuil2!$J$3</f>
        <v>0</v>
      </c>
      <c r="AO221" s="3">
        <f>Z221*Feuil2!$K$3</f>
        <v>0</v>
      </c>
      <c r="AP221" s="3">
        <f>AA221*Feuil2!$L$3</f>
        <v>138.35558070250107</v>
      </c>
      <c r="AQ221" s="3">
        <f>AB221*Feuil2!$M$3</f>
        <v>0</v>
      </c>
      <c r="AR221" s="3">
        <f>AC221*Feuil2!$N$3</f>
        <v>249.210266426472</v>
      </c>
    </row>
    <row r="222" spans="1:44" x14ac:dyDescent="0.35">
      <c r="A222" t="s">
        <v>443</v>
      </c>
      <c r="B222" t="s">
        <v>444</v>
      </c>
      <c r="C222">
        <v>217</v>
      </c>
      <c r="D222">
        <v>0</v>
      </c>
      <c r="E222">
        <v>0</v>
      </c>
      <c r="F222">
        <v>8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225</v>
      </c>
      <c r="Q222" s="1">
        <f>C222/$C$434</f>
        <v>5.3568342837394161E-3</v>
      </c>
      <c r="R222" s="1">
        <f t="shared" si="47"/>
        <v>0</v>
      </c>
      <c r="S222" s="1">
        <f t="shared" si="51"/>
        <v>0</v>
      </c>
      <c r="T222" s="1">
        <f t="shared" si="52"/>
        <v>3.2124643617234869E-4</v>
      </c>
      <c r="U222" s="1">
        <f t="shared" si="53"/>
        <v>0</v>
      </c>
      <c r="V222" s="1">
        <f t="shared" si="54"/>
        <v>0</v>
      </c>
      <c r="W222" s="1">
        <f t="shared" si="55"/>
        <v>0</v>
      </c>
      <c r="X222" s="1">
        <f t="shared" si="56"/>
        <v>0</v>
      </c>
      <c r="Y222" s="1">
        <f t="shared" si="57"/>
        <v>0</v>
      </c>
      <c r="Z222" s="1">
        <f t="shared" si="48"/>
        <v>0</v>
      </c>
      <c r="AA222" s="1">
        <f t="shared" si="44"/>
        <v>0</v>
      </c>
      <c r="AB222" s="1">
        <f t="shared" si="45"/>
        <v>0</v>
      </c>
      <c r="AC222" s="1">
        <f t="shared" si="46"/>
        <v>5.9258556935621503E-4</v>
      </c>
      <c r="AD222" s="1" t="str">
        <f t="shared" si="49"/>
        <v>GDNS</v>
      </c>
      <c r="AE222" s="1" t="str">
        <f t="shared" si="50"/>
        <v>5136</v>
      </c>
      <c r="AF222" s="3">
        <f>Q222*Feuil2!$B$3</f>
        <v>189.49758424053914</v>
      </c>
      <c r="AG222" s="3">
        <f>R222*Feuil2!$C$3</f>
        <v>0</v>
      </c>
      <c r="AH222" s="3">
        <f>S222*Feuil2!$D$3</f>
        <v>0</v>
      </c>
      <c r="AI222" s="3">
        <f>T222*Feuil2!$E$2</f>
        <v>12.041280167048146</v>
      </c>
      <c r="AJ222" s="3">
        <f>U222*Feuil2!$F$3</f>
        <v>0</v>
      </c>
      <c r="AK222" s="3">
        <f>V222*Feuil2!$G$3</f>
        <v>0</v>
      </c>
      <c r="AL222" s="3">
        <f>W222*Feuil2!$H$3</f>
        <v>0</v>
      </c>
      <c r="AM222" s="3">
        <f>X222*Feuil2!$I$2</f>
        <v>0</v>
      </c>
      <c r="AN222" s="3">
        <f>Y222*Feuil2!$J$3</f>
        <v>0</v>
      </c>
      <c r="AO222" s="3">
        <f>Z222*Feuil2!$K$3</f>
        <v>0</v>
      </c>
      <c r="AP222" s="3">
        <f>AA222*Feuil2!$L$3</f>
        <v>0</v>
      </c>
      <c r="AQ222" s="3">
        <f>AB222*Feuil2!$M$3</f>
        <v>0</v>
      </c>
      <c r="AR222" s="3">
        <f>AC222*Feuil2!$N$3</f>
        <v>248.10756613254955</v>
      </c>
    </row>
    <row r="223" spans="1:44" x14ac:dyDescent="0.35">
      <c r="A223" t="s">
        <v>445</v>
      </c>
      <c r="B223" t="s">
        <v>446</v>
      </c>
      <c r="C223">
        <v>0</v>
      </c>
      <c r="D223">
        <v>18</v>
      </c>
      <c r="E223">
        <v>58</v>
      </c>
      <c r="F223">
        <v>0</v>
      </c>
      <c r="G223">
        <v>0</v>
      </c>
      <c r="H223">
        <v>24</v>
      </c>
      <c r="I223">
        <v>66</v>
      </c>
      <c r="J223">
        <v>0</v>
      </c>
      <c r="K223">
        <v>0</v>
      </c>
      <c r="L223">
        <v>0</v>
      </c>
      <c r="M223">
        <v>58</v>
      </c>
      <c r="N223">
        <v>0</v>
      </c>
      <c r="O223">
        <v>224</v>
      </c>
      <c r="Q223" s="1">
        <f>C223/$C$434</f>
        <v>0</v>
      </c>
      <c r="R223" s="1">
        <f t="shared" si="47"/>
        <v>7.5878930950172834E-4</v>
      </c>
      <c r="S223" s="1">
        <f t="shared" si="51"/>
        <v>1.9688380460979667E-3</v>
      </c>
      <c r="T223" s="1">
        <f t="shared" si="52"/>
        <v>0</v>
      </c>
      <c r="U223" s="1">
        <f t="shared" si="53"/>
        <v>0</v>
      </c>
      <c r="V223" s="1">
        <f t="shared" si="54"/>
        <v>8.0340106450641044E-4</v>
      </c>
      <c r="W223" s="1">
        <f t="shared" si="55"/>
        <v>1.4778986967620583E-3</v>
      </c>
      <c r="X223" s="1">
        <f t="shared" si="56"/>
        <v>0</v>
      </c>
      <c r="Y223" s="1">
        <f t="shared" si="57"/>
        <v>0</v>
      </c>
      <c r="Z223" s="1">
        <f t="shared" si="48"/>
        <v>0</v>
      </c>
      <c r="AA223" s="1">
        <f t="shared" si="44"/>
        <v>1.4520691986080164E-3</v>
      </c>
      <c r="AB223" s="1">
        <f t="shared" si="45"/>
        <v>0</v>
      </c>
      <c r="AC223" s="1">
        <f t="shared" si="46"/>
        <v>5.8995185571463187E-4</v>
      </c>
      <c r="AD223" s="1" t="str">
        <f t="shared" si="49"/>
        <v>DOUMOS</v>
      </c>
      <c r="AE223" s="1" t="str">
        <f t="shared" si="50"/>
        <v>3721</v>
      </c>
      <c r="AF223" s="3">
        <f>Q223*Feuil2!$B$3</f>
        <v>0</v>
      </c>
      <c r="AG223" s="3">
        <f>R223*Feuil2!$C$3</f>
        <v>26.842111120478879</v>
      </c>
      <c r="AH223" s="3">
        <f>S223*Feuil2!$D$3</f>
        <v>77.371003767948679</v>
      </c>
      <c r="AI223" s="3">
        <f>T223*Feuil2!$E$2</f>
        <v>0</v>
      </c>
      <c r="AJ223" s="3">
        <f>U223*Feuil2!$F$3</f>
        <v>0</v>
      </c>
      <c r="AK223" s="3">
        <f>V223*Feuil2!$G$3</f>
        <v>32.367197134536205</v>
      </c>
      <c r="AL223" s="3">
        <f>W223*Feuil2!$H$3</f>
        <v>53.732672309552605</v>
      </c>
      <c r="AM223" s="3">
        <f>X223*Feuil2!$I$2</f>
        <v>0</v>
      </c>
      <c r="AN223" s="3">
        <f>Y223*Feuil2!$J$3</f>
        <v>0</v>
      </c>
      <c r="AO223" s="3">
        <f>Z223*Feuil2!$K$3</f>
        <v>0</v>
      </c>
      <c r="AP223" s="3">
        <f>AA223*Feuil2!$L$3</f>
        <v>52.793576847006989</v>
      </c>
      <c r="AQ223" s="3">
        <f>AB223*Feuil2!$M$3</f>
        <v>0</v>
      </c>
      <c r="AR223" s="3">
        <f>AC223*Feuil2!$N$3</f>
        <v>247.00486583862713</v>
      </c>
    </row>
    <row r="224" spans="1:44" x14ac:dyDescent="0.35">
      <c r="A224" t="s">
        <v>447</v>
      </c>
      <c r="B224" t="s">
        <v>448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224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224</v>
      </c>
      <c r="Q224" s="1">
        <f>C224/$C$434</f>
        <v>0</v>
      </c>
      <c r="R224" s="1">
        <f t="shared" si="47"/>
        <v>0</v>
      </c>
      <c r="S224" s="1">
        <f t="shared" si="51"/>
        <v>0</v>
      </c>
      <c r="T224" s="1">
        <f t="shared" si="52"/>
        <v>0</v>
      </c>
      <c r="U224" s="1">
        <f t="shared" si="53"/>
        <v>0</v>
      </c>
      <c r="V224" s="1">
        <f t="shared" si="54"/>
        <v>7.4984099353931641E-3</v>
      </c>
      <c r="W224" s="1">
        <f t="shared" si="55"/>
        <v>0</v>
      </c>
      <c r="X224" s="1">
        <f t="shared" si="56"/>
        <v>0</v>
      </c>
      <c r="Y224" s="1">
        <f t="shared" si="57"/>
        <v>0</v>
      </c>
      <c r="Z224" s="1">
        <f t="shared" si="48"/>
        <v>0</v>
      </c>
      <c r="AA224" s="1">
        <f t="shared" si="44"/>
        <v>0</v>
      </c>
      <c r="AB224" s="1">
        <f t="shared" si="45"/>
        <v>0</v>
      </c>
      <c r="AC224" s="1">
        <f t="shared" si="46"/>
        <v>5.8995185571463187E-4</v>
      </c>
      <c r="AD224" s="1" t="str">
        <f t="shared" si="49"/>
        <v>MAIRIE DE DOUVRES-LA-DELIVRAND</v>
      </c>
      <c r="AE224" s="1" t="str">
        <f t="shared" si="50"/>
        <v>3759</v>
      </c>
      <c r="AF224" s="3">
        <f>Q224*Feuil2!$B$3</f>
        <v>0</v>
      </c>
      <c r="AG224" s="3">
        <f>R224*Feuil2!$C$3</f>
        <v>0</v>
      </c>
      <c r="AH224" s="3">
        <f>S224*Feuil2!$D$3</f>
        <v>0</v>
      </c>
      <c r="AI224" s="3">
        <f>T224*Feuil2!$E$2</f>
        <v>0</v>
      </c>
      <c r="AJ224" s="3">
        <f>U224*Feuil2!$F$3</f>
        <v>0</v>
      </c>
      <c r="AK224" s="3">
        <f>V224*Feuil2!$G$3</f>
        <v>302.09383992233791</v>
      </c>
      <c r="AL224" s="3">
        <f>W224*Feuil2!$H$3</f>
        <v>0</v>
      </c>
      <c r="AM224" s="3">
        <f>X224*Feuil2!$I$2</f>
        <v>0</v>
      </c>
      <c r="AN224" s="3">
        <f>Y224*Feuil2!$J$3</f>
        <v>0</v>
      </c>
      <c r="AO224" s="3">
        <f>Z224*Feuil2!$K$3</f>
        <v>0</v>
      </c>
      <c r="AP224" s="3">
        <f>AA224*Feuil2!$L$3</f>
        <v>0</v>
      </c>
      <c r="AQ224" s="3">
        <f>AB224*Feuil2!$M$3</f>
        <v>0</v>
      </c>
      <c r="AR224" s="3">
        <f>AC224*Feuil2!$N$3</f>
        <v>247.00486583862713</v>
      </c>
    </row>
    <row r="225" spans="1:44" x14ac:dyDescent="0.35">
      <c r="A225" t="s">
        <v>449</v>
      </c>
      <c r="B225" t="s">
        <v>450</v>
      </c>
      <c r="C225">
        <v>-12</v>
      </c>
      <c r="D225">
        <v>0</v>
      </c>
      <c r="E225">
        <v>37</v>
      </c>
      <c r="F225">
        <v>110</v>
      </c>
      <c r="G225">
        <v>56</v>
      </c>
      <c r="H225">
        <v>0</v>
      </c>
      <c r="I225">
        <v>0</v>
      </c>
      <c r="J225">
        <v>0</v>
      </c>
      <c r="K225">
        <v>31</v>
      </c>
      <c r="L225">
        <v>0</v>
      </c>
      <c r="M225">
        <v>0</v>
      </c>
      <c r="N225">
        <v>0</v>
      </c>
      <c r="O225">
        <v>222</v>
      </c>
      <c r="Q225" s="1">
        <f>C225/$C$434</f>
        <v>-2.9623046730356219E-4</v>
      </c>
      <c r="R225" s="1">
        <f t="shared" si="47"/>
        <v>0</v>
      </c>
      <c r="S225" s="1">
        <f t="shared" si="51"/>
        <v>1.2559828914762892E-3</v>
      </c>
      <c r="T225" s="1">
        <f t="shared" si="52"/>
        <v>4.4171384973697948E-3</v>
      </c>
      <c r="U225" s="1">
        <f t="shared" si="53"/>
        <v>2.6694632472113642E-3</v>
      </c>
      <c r="V225" s="1">
        <f t="shared" si="54"/>
        <v>0</v>
      </c>
      <c r="W225" s="1">
        <f t="shared" si="55"/>
        <v>0</v>
      </c>
      <c r="X225" s="1">
        <f t="shared" si="56"/>
        <v>0</v>
      </c>
      <c r="Y225" s="1">
        <f t="shared" si="57"/>
        <v>7.9338673764492104E-4</v>
      </c>
      <c r="Z225" s="1">
        <f t="shared" si="48"/>
        <v>0</v>
      </c>
      <c r="AA225" s="1">
        <f t="shared" si="44"/>
        <v>0</v>
      </c>
      <c r="AB225" s="1">
        <f t="shared" si="45"/>
        <v>0</v>
      </c>
      <c r="AC225" s="1">
        <f t="shared" si="46"/>
        <v>5.8468442843146546E-4</v>
      </c>
      <c r="AD225" s="1" t="str">
        <f t="shared" si="49"/>
        <v>BEAULIEU AUTOMOBILES</v>
      </c>
      <c r="AE225" s="1" t="str">
        <f t="shared" si="50"/>
        <v>3378</v>
      </c>
      <c r="AF225" s="3">
        <f>Q225*Feuil2!$B$3</f>
        <v>-10.479129082426129</v>
      </c>
      <c r="AG225" s="3">
        <f>R225*Feuil2!$C$3</f>
        <v>0</v>
      </c>
      <c r="AH225" s="3">
        <f>S225*Feuil2!$D$3</f>
        <v>49.357364472656919</v>
      </c>
      <c r="AI225" s="3">
        <f>T225*Feuil2!$E$2</f>
        <v>165.56760229691201</v>
      </c>
      <c r="AJ225" s="3">
        <f>U225*Feuil2!$F$3</f>
        <v>68.200514825054825</v>
      </c>
      <c r="AK225" s="3">
        <f>V225*Feuil2!$G$3</f>
        <v>0</v>
      </c>
      <c r="AL225" s="3">
        <f>W225*Feuil2!$H$3</f>
        <v>0</v>
      </c>
      <c r="AM225" s="3">
        <f>X225*Feuil2!$I$2</f>
        <v>0</v>
      </c>
      <c r="AN225" s="3">
        <f>Y225*Feuil2!$J$3</f>
        <v>33.52284288383283</v>
      </c>
      <c r="AO225" s="3">
        <f>Z225*Feuil2!$K$3</f>
        <v>0</v>
      </c>
      <c r="AP225" s="3">
        <f>AA225*Feuil2!$L$3</f>
        <v>0</v>
      </c>
      <c r="AQ225" s="3">
        <f>AB225*Feuil2!$M$3</f>
        <v>0</v>
      </c>
      <c r="AR225" s="3">
        <f>AC225*Feuil2!$N$3</f>
        <v>244.79946525078222</v>
      </c>
    </row>
    <row r="226" spans="1:44" x14ac:dyDescent="0.35">
      <c r="A226" t="s">
        <v>451</v>
      </c>
      <c r="B226" t="s">
        <v>45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74</v>
      </c>
      <c r="M226">
        <v>146</v>
      </c>
      <c r="N226">
        <v>0</v>
      </c>
      <c r="O226">
        <v>220</v>
      </c>
      <c r="Q226" s="1">
        <f>C226/$C$434</f>
        <v>0</v>
      </c>
      <c r="R226" s="1">
        <f t="shared" si="47"/>
        <v>0</v>
      </c>
      <c r="S226" s="1">
        <f t="shared" si="51"/>
        <v>0</v>
      </c>
      <c r="T226" s="1">
        <f t="shared" si="52"/>
        <v>0</v>
      </c>
      <c r="U226" s="1">
        <f t="shared" si="53"/>
        <v>0</v>
      </c>
      <c r="V226" s="1">
        <f t="shared" si="54"/>
        <v>0</v>
      </c>
      <c r="W226" s="1">
        <f t="shared" si="55"/>
        <v>0</v>
      </c>
      <c r="X226" s="1">
        <f t="shared" si="56"/>
        <v>0</v>
      </c>
      <c r="Y226" s="1">
        <f t="shared" si="57"/>
        <v>0</v>
      </c>
      <c r="Z226" s="1">
        <f t="shared" si="48"/>
        <v>1.8777913114088509E-3</v>
      </c>
      <c r="AA226" s="1">
        <f t="shared" si="44"/>
        <v>3.6552086723581102E-3</v>
      </c>
      <c r="AB226" s="1">
        <f t="shared" si="45"/>
        <v>0</v>
      </c>
      <c r="AC226" s="1">
        <f t="shared" si="46"/>
        <v>5.7941700114829916E-4</v>
      </c>
      <c r="AD226" s="1" t="str">
        <f t="shared" si="49"/>
        <v>JFC By Mary Automobiles - DEAU</v>
      </c>
      <c r="AE226" s="1" t="str">
        <f t="shared" si="50"/>
        <v>5194</v>
      </c>
      <c r="AF226" s="3">
        <f>Q226*Feuil2!$B$3</f>
        <v>0</v>
      </c>
      <c r="AG226" s="3">
        <f>R226*Feuil2!$C$3</f>
        <v>0</v>
      </c>
      <c r="AH226" s="3">
        <f>S226*Feuil2!$D$3</f>
        <v>0</v>
      </c>
      <c r="AI226" s="3">
        <f>T226*Feuil2!$E$2</f>
        <v>0</v>
      </c>
      <c r="AJ226" s="3">
        <f>U226*Feuil2!$F$3</f>
        <v>0</v>
      </c>
      <c r="AK226" s="3">
        <f>V226*Feuil2!$G$3</f>
        <v>0</v>
      </c>
      <c r="AL226" s="3">
        <f>W226*Feuil2!$H$3</f>
        <v>0</v>
      </c>
      <c r="AM226" s="3">
        <f>X226*Feuil2!$I$2</f>
        <v>0</v>
      </c>
      <c r="AN226" s="3">
        <f>Y226*Feuil2!$J$3</f>
        <v>0</v>
      </c>
      <c r="AO226" s="3">
        <f>Z226*Feuil2!$K$3</f>
        <v>75.651930572472594</v>
      </c>
      <c r="AP226" s="3">
        <f>AA226*Feuil2!$L$3</f>
        <v>132.89417620108657</v>
      </c>
      <c r="AQ226" s="3">
        <f>AB226*Feuil2!$M$3</f>
        <v>0</v>
      </c>
      <c r="AR226" s="3">
        <f>AC226*Feuil2!$N$3</f>
        <v>242.59406466293737</v>
      </c>
    </row>
    <row r="227" spans="1:44" x14ac:dyDescent="0.35">
      <c r="A227" t="s">
        <v>452</v>
      </c>
      <c r="B227" t="s">
        <v>453</v>
      </c>
      <c r="C227">
        <v>0</v>
      </c>
      <c r="D227">
        <v>49</v>
      </c>
      <c r="E227">
        <v>37</v>
      </c>
      <c r="F227">
        <v>51</v>
      </c>
      <c r="G227">
        <v>0</v>
      </c>
      <c r="H227">
        <v>16</v>
      </c>
      <c r="I227">
        <v>0</v>
      </c>
      <c r="J227">
        <v>0</v>
      </c>
      <c r="K227">
        <v>17</v>
      </c>
      <c r="L227">
        <v>49</v>
      </c>
      <c r="M227">
        <v>0</v>
      </c>
      <c r="N227">
        <v>0</v>
      </c>
      <c r="O227">
        <v>219</v>
      </c>
      <c r="Q227" s="1">
        <f>C227/$C$434</f>
        <v>0</v>
      </c>
      <c r="R227" s="1">
        <f t="shared" si="47"/>
        <v>2.0655931203102606E-3</v>
      </c>
      <c r="S227" s="1">
        <f t="shared" si="51"/>
        <v>1.2559828914762892E-3</v>
      </c>
      <c r="T227" s="1">
        <f t="shared" si="52"/>
        <v>2.0479460305987229E-3</v>
      </c>
      <c r="U227" s="1">
        <f t="shared" si="53"/>
        <v>0</v>
      </c>
      <c r="V227" s="1">
        <f t="shared" si="54"/>
        <v>5.3560070967094029E-4</v>
      </c>
      <c r="W227" s="1">
        <f t="shared" si="55"/>
        <v>0</v>
      </c>
      <c r="X227" s="1">
        <f t="shared" si="56"/>
        <v>0</v>
      </c>
      <c r="Y227" s="1">
        <f t="shared" si="57"/>
        <v>4.3508304967624701E-4</v>
      </c>
      <c r="Z227" s="1">
        <f t="shared" si="48"/>
        <v>1.2434023548518068E-3</v>
      </c>
      <c r="AA227" s="1">
        <f t="shared" si="44"/>
        <v>0</v>
      </c>
      <c r="AB227" s="1">
        <f t="shared" si="45"/>
        <v>0</v>
      </c>
      <c r="AC227" s="1">
        <f t="shared" si="46"/>
        <v>5.7678328750671601E-4</v>
      </c>
      <c r="AD227" s="1" t="str">
        <f t="shared" si="49"/>
        <v>ENERGY REPROG</v>
      </c>
      <c r="AE227" s="1" t="str">
        <f t="shared" si="50"/>
        <v>3648</v>
      </c>
      <c r="AF227" s="3">
        <f>Q227*Feuil2!$B$3</f>
        <v>0</v>
      </c>
      <c r="AG227" s="3">
        <f>R227*Feuil2!$C$3</f>
        <v>73.070191383525838</v>
      </c>
      <c r="AH227" s="3">
        <f>S227*Feuil2!$D$3</f>
        <v>49.357364472656919</v>
      </c>
      <c r="AI227" s="3">
        <f>T227*Feuil2!$E$2</f>
        <v>76.763161064931936</v>
      </c>
      <c r="AJ227" s="3">
        <f>U227*Feuil2!$F$3</f>
        <v>0</v>
      </c>
      <c r="AK227" s="3">
        <f>V227*Feuil2!$G$3</f>
        <v>21.578131423024136</v>
      </c>
      <c r="AL227" s="3">
        <f>W227*Feuil2!$H$3</f>
        <v>0</v>
      </c>
      <c r="AM227" s="3">
        <f>X227*Feuil2!$I$2</f>
        <v>0</v>
      </c>
      <c r="AN227" s="3">
        <f>Y227*Feuil2!$J$3</f>
        <v>18.383494484682519</v>
      </c>
      <c r="AO227" s="3">
        <f>Z227*Feuil2!$K$3</f>
        <v>50.093845919610239</v>
      </c>
      <c r="AP227" s="3">
        <f>AA227*Feuil2!$L$3</f>
        <v>0</v>
      </c>
      <c r="AQ227" s="3">
        <f>AB227*Feuil2!$M$3</f>
        <v>0</v>
      </c>
      <c r="AR227" s="3">
        <f>AC227*Feuil2!$N$3</f>
        <v>241.49136436901492</v>
      </c>
    </row>
    <row r="228" spans="1:44" x14ac:dyDescent="0.35">
      <c r="A228" t="s">
        <v>454</v>
      </c>
      <c r="B228" t="s">
        <v>455</v>
      </c>
      <c r="C228">
        <v>110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96</v>
      </c>
      <c r="J228">
        <v>0</v>
      </c>
      <c r="K228">
        <v>0</v>
      </c>
      <c r="L228">
        <v>0</v>
      </c>
      <c r="M228">
        <v>13</v>
      </c>
      <c r="N228">
        <v>0</v>
      </c>
      <c r="O228">
        <v>219</v>
      </c>
      <c r="Q228" s="1">
        <f>C228/$C$434</f>
        <v>2.7154459502826533E-3</v>
      </c>
      <c r="R228" s="1">
        <f t="shared" si="47"/>
        <v>0</v>
      </c>
      <c r="S228" s="1">
        <f t="shared" si="51"/>
        <v>0</v>
      </c>
      <c r="T228" s="1">
        <f t="shared" si="52"/>
        <v>0</v>
      </c>
      <c r="U228" s="1">
        <f t="shared" si="53"/>
        <v>0</v>
      </c>
      <c r="V228" s="1">
        <f t="shared" si="54"/>
        <v>0</v>
      </c>
      <c r="W228" s="1">
        <f t="shared" si="55"/>
        <v>2.1496708316539031E-3</v>
      </c>
      <c r="X228" s="1">
        <f t="shared" si="56"/>
        <v>0</v>
      </c>
      <c r="Y228" s="1">
        <f t="shared" si="57"/>
        <v>0</v>
      </c>
      <c r="Z228" s="1">
        <f t="shared" si="48"/>
        <v>0</v>
      </c>
      <c r="AA228" s="1">
        <f t="shared" si="44"/>
        <v>3.2546378589490022E-4</v>
      </c>
      <c r="AB228" s="1">
        <f t="shared" si="45"/>
        <v>0</v>
      </c>
      <c r="AC228" s="1">
        <f t="shared" si="46"/>
        <v>5.7678328750671601E-4</v>
      </c>
      <c r="AD228" s="1" t="str">
        <f t="shared" si="49"/>
        <v>FRED OTO</v>
      </c>
      <c r="AE228" s="1" t="str">
        <f t="shared" si="50"/>
        <v>3933</v>
      </c>
      <c r="AF228" s="3">
        <f>Q228*Feuil2!$B$3</f>
        <v>96.058683255572831</v>
      </c>
      <c r="AG228" s="3">
        <f>R228*Feuil2!$C$3</f>
        <v>0</v>
      </c>
      <c r="AH228" s="3">
        <f>S228*Feuil2!$D$3</f>
        <v>0</v>
      </c>
      <c r="AI228" s="3">
        <f>T228*Feuil2!$E$2</f>
        <v>0</v>
      </c>
      <c r="AJ228" s="3">
        <f>U228*Feuil2!$F$3</f>
        <v>0</v>
      </c>
      <c r="AK228" s="3">
        <f>V228*Feuil2!$G$3</f>
        <v>0</v>
      </c>
      <c r="AL228" s="3">
        <f>W228*Feuil2!$H$3</f>
        <v>78.156614268440151</v>
      </c>
      <c r="AM228" s="3">
        <f>X228*Feuil2!$I$2</f>
        <v>0</v>
      </c>
      <c r="AN228" s="3">
        <f>Y228*Feuil2!$J$3</f>
        <v>0</v>
      </c>
      <c r="AO228" s="3">
        <f>Z228*Feuil2!$K$3</f>
        <v>0</v>
      </c>
      <c r="AP228" s="3">
        <f>AA228*Feuil2!$L$3</f>
        <v>11.833043086398117</v>
      </c>
      <c r="AQ228" s="3">
        <f>AB228*Feuil2!$M$3</f>
        <v>0</v>
      </c>
      <c r="AR228" s="3">
        <f>AC228*Feuil2!$N$3</f>
        <v>241.49136436901492</v>
      </c>
    </row>
    <row r="229" spans="1:44" x14ac:dyDescent="0.35">
      <c r="A229" t="s">
        <v>456</v>
      </c>
      <c r="B229" t="s">
        <v>457</v>
      </c>
      <c r="C229">
        <v>0</v>
      </c>
      <c r="D229">
        <v>0</v>
      </c>
      <c r="E229">
        <v>0</v>
      </c>
      <c r="F229">
        <v>7</v>
      </c>
      <c r="G229">
        <v>31</v>
      </c>
      <c r="H229">
        <v>14</v>
      </c>
      <c r="I229">
        <v>96</v>
      </c>
      <c r="J229">
        <v>20</v>
      </c>
      <c r="K229">
        <v>10</v>
      </c>
      <c r="L229">
        <v>37</v>
      </c>
      <c r="M229">
        <v>0</v>
      </c>
      <c r="N229">
        <v>0</v>
      </c>
      <c r="O229">
        <v>215</v>
      </c>
      <c r="Q229" s="1">
        <f>C229/$C$434</f>
        <v>0</v>
      </c>
      <c r="R229" s="1">
        <f t="shared" si="47"/>
        <v>0</v>
      </c>
      <c r="S229" s="1">
        <f t="shared" si="51"/>
        <v>0</v>
      </c>
      <c r="T229" s="1">
        <f t="shared" si="52"/>
        <v>2.8109063165080513E-4</v>
      </c>
      <c r="U229" s="1">
        <f t="shared" si="53"/>
        <v>1.4777385832777195E-3</v>
      </c>
      <c r="V229" s="1">
        <f t="shared" si="54"/>
        <v>4.6865062096207276E-4</v>
      </c>
      <c r="W229" s="1">
        <f t="shared" si="55"/>
        <v>2.1496708316539031E-3</v>
      </c>
      <c r="X229" s="1">
        <f t="shared" si="56"/>
        <v>1.0684902233144566E-3</v>
      </c>
      <c r="Y229" s="1">
        <f t="shared" si="57"/>
        <v>2.5593120569191E-4</v>
      </c>
      <c r="Z229" s="1">
        <f t="shared" si="48"/>
        <v>9.3889565570442546E-4</v>
      </c>
      <c r="AA229" s="1">
        <f t="shared" si="44"/>
        <v>0</v>
      </c>
      <c r="AB229" s="1">
        <f t="shared" si="45"/>
        <v>0</v>
      </c>
      <c r="AC229" s="1">
        <f t="shared" si="46"/>
        <v>5.6624843294038329E-4</v>
      </c>
      <c r="AD229" s="1" t="str">
        <f t="shared" si="49"/>
        <v>SMD AUTOMOBILES</v>
      </c>
      <c r="AE229" s="1" t="str">
        <f t="shared" si="50"/>
        <v>3250</v>
      </c>
      <c r="AF229" s="3">
        <f>Q229*Feuil2!$B$3</f>
        <v>0</v>
      </c>
      <c r="AG229" s="3">
        <f>R229*Feuil2!$C$3</f>
        <v>0</v>
      </c>
      <c r="AH229" s="3">
        <f>S229*Feuil2!$D$3</f>
        <v>0</v>
      </c>
      <c r="AI229" s="3">
        <f>T229*Feuil2!$E$2</f>
        <v>10.536120146167129</v>
      </c>
      <c r="AJ229" s="3">
        <f>U229*Feuil2!$F$3</f>
        <v>37.753856421012493</v>
      </c>
      <c r="AK229" s="3">
        <f>V229*Feuil2!$G$3</f>
        <v>18.880864995146119</v>
      </c>
      <c r="AL229" s="3">
        <f>W229*Feuil2!$H$3</f>
        <v>78.156614268440151</v>
      </c>
      <c r="AM229" s="3">
        <f>X229*Feuil2!$I$2</f>
        <v>22.825088150443424</v>
      </c>
      <c r="AN229" s="3">
        <f>Y229*Feuil2!$J$3</f>
        <v>10.813820285107363</v>
      </c>
      <c r="AO229" s="3">
        <f>Z229*Feuil2!$K$3</f>
        <v>37.825965286236297</v>
      </c>
      <c r="AP229" s="3">
        <f>AA229*Feuil2!$L$3</f>
        <v>0</v>
      </c>
      <c r="AQ229" s="3">
        <f>AB229*Feuil2!$M$3</f>
        <v>0</v>
      </c>
      <c r="AR229" s="3">
        <f>AC229*Feuil2!$N$3</f>
        <v>237.08056319332516</v>
      </c>
    </row>
    <row r="230" spans="1:44" x14ac:dyDescent="0.35">
      <c r="A230" t="s">
        <v>458</v>
      </c>
      <c r="B230" t="s">
        <v>459</v>
      </c>
      <c r="C230">
        <v>24</v>
      </c>
      <c r="D230">
        <v>0</v>
      </c>
      <c r="E230">
        <v>27</v>
      </c>
      <c r="F230">
        <v>0</v>
      </c>
      <c r="G230">
        <v>0</v>
      </c>
      <c r="H230">
        <v>0</v>
      </c>
      <c r="I230">
        <v>85</v>
      </c>
      <c r="J230">
        <v>78</v>
      </c>
      <c r="K230">
        <v>0</v>
      </c>
      <c r="L230">
        <v>0</v>
      </c>
      <c r="M230">
        <v>0</v>
      </c>
      <c r="N230">
        <v>0</v>
      </c>
      <c r="O230">
        <v>214</v>
      </c>
      <c r="Q230" s="1">
        <f>C230/$C$434</f>
        <v>5.9246093460712439E-4</v>
      </c>
      <c r="R230" s="1">
        <f t="shared" si="47"/>
        <v>0</v>
      </c>
      <c r="S230" s="1">
        <f t="shared" si="51"/>
        <v>9.1652805594215694E-4</v>
      </c>
      <c r="T230" s="1">
        <f t="shared" si="52"/>
        <v>0</v>
      </c>
      <c r="U230" s="1">
        <f t="shared" si="53"/>
        <v>0</v>
      </c>
      <c r="V230" s="1">
        <f t="shared" si="54"/>
        <v>0</v>
      </c>
      <c r="W230" s="1">
        <f t="shared" si="55"/>
        <v>1.9033543821935599E-3</v>
      </c>
      <c r="X230" s="1">
        <f t="shared" si="56"/>
        <v>4.1671118709263807E-3</v>
      </c>
      <c r="Y230" s="1">
        <f t="shared" si="57"/>
        <v>0</v>
      </c>
      <c r="Z230" s="1">
        <f t="shared" si="48"/>
        <v>0</v>
      </c>
      <c r="AA230" s="1">
        <f t="shared" si="44"/>
        <v>0</v>
      </c>
      <c r="AB230" s="1">
        <f t="shared" si="45"/>
        <v>0</v>
      </c>
      <c r="AC230" s="1">
        <f t="shared" si="46"/>
        <v>5.6361471929880004E-4</v>
      </c>
      <c r="AD230" s="1" t="str">
        <f t="shared" si="49"/>
        <v>MADELAINE PHILIPPE</v>
      </c>
      <c r="AE230" s="1" t="str">
        <f t="shared" si="50"/>
        <v>3329</v>
      </c>
      <c r="AF230" s="3">
        <f>Q230*Feuil2!$B$3</f>
        <v>20.958258164852257</v>
      </c>
      <c r="AG230" s="3">
        <f>R230*Feuil2!$C$3</f>
        <v>0</v>
      </c>
      <c r="AH230" s="3">
        <f>S230*Feuil2!$D$3</f>
        <v>36.0175362368037</v>
      </c>
      <c r="AI230" s="3">
        <f>T230*Feuil2!$E$2</f>
        <v>0</v>
      </c>
      <c r="AJ230" s="3">
        <f>U230*Feuil2!$F$3</f>
        <v>0</v>
      </c>
      <c r="AK230" s="3">
        <f>V230*Feuil2!$G$3</f>
        <v>0</v>
      </c>
      <c r="AL230" s="3">
        <f>W230*Feuil2!$H$3</f>
        <v>69.201168883514711</v>
      </c>
      <c r="AM230" s="3">
        <f>X230*Feuil2!$I$2</f>
        <v>89.017843786729344</v>
      </c>
      <c r="AN230" s="3">
        <f>Y230*Feuil2!$J$3</f>
        <v>0</v>
      </c>
      <c r="AO230" s="3">
        <f>Z230*Feuil2!$K$3</f>
        <v>0</v>
      </c>
      <c r="AP230" s="3">
        <f>AA230*Feuil2!$L$3</f>
        <v>0</v>
      </c>
      <c r="AQ230" s="3">
        <f>AB230*Feuil2!$M$3</f>
        <v>0</v>
      </c>
      <c r="AR230" s="3">
        <f>AC230*Feuil2!$N$3</f>
        <v>235.97786289940268</v>
      </c>
    </row>
    <row r="231" spans="1:44" x14ac:dyDescent="0.35">
      <c r="A231" t="s">
        <v>460</v>
      </c>
      <c r="B231" t="s">
        <v>461</v>
      </c>
      <c r="C231">
        <v>85</v>
      </c>
      <c r="D231">
        <v>26</v>
      </c>
      <c r="E231">
        <v>53</v>
      </c>
      <c r="F231">
        <v>38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202</v>
      </c>
      <c r="Q231" s="1">
        <f>C231/$C$434</f>
        <v>2.0982991434002319E-3</v>
      </c>
      <c r="R231" s="1">
        <f t="shared" si="47"/>
        <v>1.0960290026136076E-3</v>
      </c>
      <c r="S231" s="1">
        <f t="shared" si="51"/>
        <v>1.7991106283309006E-3</v>
      </c>
      <c r="T231" s="1">
        <f t="shared" si="52"/>
        <v>1.5259205718186563E-3</v>
      </c>
      <c r="U231" s="1">
        <f t="shared" si="53"/>
        <v>0</v>
      </c>
      <c r="V231" s="1">
        <f t="shared" si="54"/>
        <v>0</v>
      </c>
      <c r="W231" s="1">
        <f t="shared" si="55"/>
        <v>0</v>
      </c>
      <c r="X231" s="1">
        <f t="shared" si="56"/>
        <v>0</v>
      </c>
      <c r="Y231" s="1">
        <f t="shared" si="57"/>
        <v>0</v>
      </c>
      <c r="Z231" s="1">
        <f t="shared" si="48"/>
        <v>0</v>
      </c>
      <c r="AA231" s="1">
        <f t="shared" si="44"/>
        <v>0</v>
      </c>
      <c r="AB231" s="1">
        <f t="shared" si="45"/>
        <v>0</v>
      </c>
      <c r="AC231" s="1">
        <f t="shared" si="46"/>
        <v>5.3201015559980189E-4</v>
      </c>
      <c r="AD231" s="1" t="str">
        <f t="shared" si="49"/>
        <v>FV AUTOMOBILE</v>
      </c>
      <c r="AE231" s="1" t="str">
        <f t="shared" si="50"/>
        <v>3691</v>
      </c>
      <c r="AF231" s="3">
        <f>Q231*Feuil2!$B$3</f>
        <v>74.227164333851732</v>
      </c>
      <c r="AG231" s="3">
        <f>R231*Feuil2!$C$3</f>
        <v>38.771938285136159</v>
      </c>
      <c r="AH231" s="3">
        <f>S231*Feuil2!$D$3</f>
        <v>70.70108965002207</v>
      </c>
      <c r="AI231" s="3">
        <f>T231*Feuil2!$E$2</f>
        <v>57.196080793478693</v>
      </c>
      <c r="AJ231" s="3">
        <f>U231*Feuil2!$F$3</f>
        <v>0</v>
      </c>
      <c r="AK231" s="3">
        <f>V231*Feuil2!$G$3</f>
        <v>0</v>
      </c>
      <c r="AL231" s="3">
        <f>W231*Feuil2!$H$3</f>
        <v>0</v>
      </c>
      <c r="AM231" s="3">
        <f>X231*Feuil2!$I$2</f>
        <v>0</v>
      </c>
      <c r="AN231" s="3">
        <f>Y231*Feuil2!$J$3</f>
        <v>0</v>
      </c>
      <c r="AO231" s="3">
        <f>Z231*Feuil2!$K$3</f>
        <v>0</v>
      </c>
      <c r="AP231" s="3">
        <f>AA231*Feuil2!$L$3</f>
        <v>0</v>
      </c>
      <c r="AQ231" s="3">
        <f>AB231*Feuil2!$M$3</f>
        <v>0</v>
      </c>
      <c r="AR231" s="3">
        <f>AC231*Feuil2!$N$3</f>
        <v>222.74545937233336</v>
      </c>
    </row>
    <row r="232" spans="1:44" x14ac:dyDescent="0.35">
      <c r="A232" t="s">
        <v>462</v>
      </c>
      <c r="B232" t="s">
        <v>463</v>
      </c>
      <c r="C232">
        <v>11</v>
      </c>
      <c r="D232">
        <v>0</v>
      </c>
      <c r="E232">
        <v>0</v>
      </c>
      <c r="F232">
        <v>120</v>
      </c>
      <c r="G232">
        <v>0</v>
      </c>
      <c r="H232">
        <v>28</v>
      </c>
      <c r="I232">
        <v>38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197</v>
      </c>
      <c r="Q232" s="1">
        <f>C232/$C$434</f>
        <v>2.7154459502826535E-4</v>
      </c>
      <c r="R232" s="1">
        <f t="shared" si="47"/>
        <v>0</v>
      </c>
      <c r="S232" s="1">
        <f t="shared" si="51"/>
        <v>0</v>
      </c>
      <c r="T232" s="1">
        <f t="shared" si="52"/>
        <v>4.818696542585231E-3</v>
      </c>
      <c r="U232" s="1">
        <f t="shared" si="53"/>
        <v>0</v>
      </c>
      <c r="V232" s="1">
        <f t="shared" si="54"/>
        <v>9.3730124192414551E-4</v>
      </c>
      <c r="W232" s="1">
        <f t="shared" si="55"/>
        <v>8.5091137086300327E-4</v>
      </c>
      <c r="X232" s="1">
        <f t="shared" si="56"/>
        <v>0</v>
      </c>
      <c r="Y232" s="1">
        <f t="shared" si="57"/>
        <v>0</v>
      </c>
      <c r="Z232" s="1">
        <f t="shared" si="48"/>
        <v>0</v>
      </c>
      <c r="AA232" s="1">
        <f t="shared" si="44"/>
        <v>0</v>
      </c>
      <c r="AB232" s="1">
        <f t="shared" si="45"/>
        <v>0</v>
      </c>
      <c r="AC232" s="1">
        <f t="shared" si="46"/>
        <v>5.1884158739188603E-4</v>
      </c>
      <c r="AD232" s="1" t="str">
        <f t="shared" si="49"/>
        <v>NORMANDIE AUTO PIECE</v>
      </c>
      <c r="AE232" s="1" t="str">
        <f t="shared" si="50"/>
        <v>3196</v>
      </c>
      <c r="AF232" s="3">
        <f>Q232*Feuil2!$B$3</f>
        <v>9.6058683255572834</v>
      </c>
      <c r="AG232" s="3">
        <f>R232*Feuil2!$C$3</f>
        <v>0</v>
      </c>
      <c r="AH232" s="3">
        <f>S232*Feuil2!$D$3</f>
        <v>0</v>
      </c>
      <c r="AI232" s="3">
        <f>T232*Feuil2!$E$2</f>
        <v>180.6192025057222</v>
      </c>
      <c r="AJ232" s="3">
        <f>U232*Feuil2!$F$3</f>
        <v>0</v>
      </c>
      <c r="AK232" s="3">
        <f>V232*Feuil2!$G$3</f>
        <v>37.761729990292238</v>
      </c>
      <c r="AL232" s="3">
        <f>W232*Feuil2!$H$3</f>
        <v>30.936993147924227</v>
      </c>
      <c r="AM232" s="3">
        <f>X232*Feuil2!$I$2</f>
        <v>0</v>
      </c>
      <c r="AN232" s="3">
        <f>Y232*Feuil2!$J$3</f>
        <v>0</v>
      </c>
      <c r="AO232" s="3">
        <f>Z232*Feuil2!$K$3</f>
        <v>0</v>
      </c>
      <c r="AP232" s="3">
        <f>AA232*Feuil2!$L$3</f>
        <v>0</v>
      </c>
      <c r="AQ232" s="3">
        <f>AB232*Feuil2!$M$3</f>
        <v>0</v>
      </c>
      <c r="AR232" s="3">
        <f>AC232*Feuil2!$N$3</f>
        <v>217.23195790272115</v>
      </c>
    </row>
    <row r="233" spans="1:44" x14ac:dyDescent="0.35">
      <c r="A233" t="s">
        <v>464</v>
      </c>
      <c r="B233" t="s">
        <v>465</v>
      </c>
      <c r="C233">
        <v>62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38</v>
      </c>
      <c r="L233">
        <v>87</v>
      </c>
      <c r="M233">
        <v>9</v>
      </c>
      <c r="N233">
        <v>0</v>
      </c>
      <c r="O233">
        <v>196</v>
      </c>
      <c r="Q233" s="1">
        <f>C233/$C$434</f>
        <v>1.5305240810684045E-3</v>
      </c>
      <c r="R233" s="1">
        <f t="shared" si="47"/>
        <v>0</v>
      </c>
      <c r="S233" s="1">
        <f t="shared" si="51"/>
        <v>0</v>
      </c>
      <c r="T233" s="1">
        <f t="shared" si="52"/>
        <v>0</v>
      </c>
      <c r="U233" s="1">
        <f t="shared" si="53"/>
        <v>0</v>
      </c>
      <c r="V233" s="1">
        <f t="shared" si="54"/>
        <v>0</v>
      </c>
      <c r="W233" s="1">
        <f t="shared" si="55"/>
        <v>0</v>
      </c>
      <c r="X233" s="1">
        <f t="shared" si="56"/>
        <v>0</v>
      </c>
      <c r="Y233" s="1">
        <f t="shared" si="57"/>
        <v>9.7253858162925811E-4</v>
      </c>
      <c r="Z233" s="1">
        <f t="shared" si="48"/>
        <v>2.2076735688185138E-3</v>
      </c>
      <c r="AA233" s="1">
        <f t="shared" si="44"/>
        <v>2.2532108254262324E-4</v>
      </c>
      <c r="AB233" s="1">
        <f t="shared" si="45"/>
        <v>0</v>
      </c>
      <c r="AC233" s="1">
        <f t="shared" si="46"/>
        <v>5.1620787375030288E-4</v>
      </c>
      <c r="AD233" s="1" t="str">
        <f t="shared" si="49"/>
        <v>MATHIEN</v>
      </c>
      <c r="AE233" s="1" t="str">
        <f t="shared" si="50"/>
        <v>5219</v>
      </c>
      <c r="AF233" s="3">
        <f>Q233*Feuil2!$B$3</f>
        <v>54.142166925868324</v>
      </c>
      <c r="AG233" s="3">
        <f>R233*Feuil2!$C$3</f>
        <v>0</v>
      </c>
      <c r="AH233" s="3">
        <f>S233*Feuil2!$D$3</f>
        <v>0</v>
      </c>
      <c r="AI233" s="3">
        <f>T233*Feuil2!$E$2</f>
        <v>0</v>
      </c>
      <c r="AJ233" s="3">
        <f>U233*Feuil2!$F$3</f>
        <v>0</v>
      </c>
      <c r="AK233" s="3">
        <f>V233*Feuil2!$G$3</f>
        <v>0</v>
      </c>
      <c r="AL233" s="3">
        <f>W233*Feuil2!$H$3</f>
        <v>0</v>
      </c>
      <c r="AM233" s="3">
        <f>X233*Feuil2!$I$2</f>
        <v>0</v>
      </c>
      <c r="AN233" s="3">
        <f>Y233*Feuil2!$J$3</f>
        <v>41.092517083407984</v>
      </c>
      <c r="AO233" s="3">
        <f>Z233*Feuil2!$K$3</f>
        <v>88.942134591961022</v>
      </c>
      <c r="AP233" s="3">
        <f>AA233*Feuil2!$L$3</f>
        <v>8.1921067521217736</v>
      </c>
      <c r="AQ233" s="3">
        <f>AB233*Feuil2!$M$3</f>
        <v>0</v>
      </c>
      <c r="AR233" s="3">
        <f>AC233*Feuil2!$N$3</f>
        <v>216.12925760879872</v>
      </c>
    </row>
    <row r="234" spans="1:44" x14ac:dyDescent="0.35">
      <c r="A234" t="s">
        <v>466</v>
      </c>
      <c r="B234" t="s">
        <v>467</v>
      </c>
      <c r="C234">
        <v>0</v>
      </c>
      <c r="D234">
        <v>194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194</v>
      </c>
      <c r="Q234" s="1">
        <f>C234/$C$434</f>
        <v>0</v>
      </c>
      <c r="R234" s="1">
        <f t="shared" si="47"/>
        <v>8.1780625579630714E-3</v>
      </c>
      <c r="S234" s="1">
        <f t="shared" si="51"/>
        <v>0</v>
      </c>
      <c r="T234" s="1">
        <f t="shared" si="52"/>
        <v>0</v>
      </c>
      <c r="U234" s="1">
        <f t="shared" si="53"/>
        <v>0</v>
      </c>
      <c r="V234" s="1">
        <f t="shared" si="54"/>
        <v>0</v>
      </c>
      <c r="W234" s="1">
        <f t="shared" si="55"/>
        <v>0</v>
      </c>
      <c r="X234" s="1">
        <f t="shared" si="56"/>
        <v>0</v>
      </c>
      <c r="Y234" s="1">
        <f t="shared" si="57"/>
        <v>0</v>
      </c>
      <c r="Z234" s="1">
        <f t="shared" si="48"/>
        <v>0</v>
      </c>
      <c r="AA234" s="1">
        <f t="shared" si="44"/>
        <v>0</v>
      </c>
      <c r="AB234" s="1">
        <f t="shared" si="45"/>
        <v>0</v>
      </c>
      <c r="AC234" s="1">
        <f t="shared" si="46"/>
        <v>5.1094044646713657E-4</v>
      </c>
      <c r="AD234" s="1" t="str">
        <f t="shared" si="49"/>
        <v>YAM 14</v>
      </c>
      <c r="AE234" s="1" t="str">
        <f t="shared" si="50"/>
        <v>3646</v>
      </c>
      <c r="AF234" s="3">
        <f>Q234*Feuil2!$B$3</f>
        <v>0</v>
      </c>
      <c r="AG234" s="3">
        <f>R234*Feuil2!$C$3</f>
        <v>289.29830874293901</v>
      </c>
      <c r="AH234" s="3">
        <f>S234*Feuil2!$D$3</f>
        <v>0</v>
      </c>
      <c r="AI234" s="3">
        <f>T234*Feuil2!$E$2</f>
        <v>0</v>
      </c>
      <c r="AJ234" s="3">
        <f>U234*Feuil2!$F$3</f>
        <v>0</v>
      </c>
      <c r="AK234" s="3">
        <f>V234*Feuil2!$G$3</f>
        <v>0</v>
      </c>
      <c r="AL234" s="3">
        <f>W234*Feuil2!$H$3</f>
        <v>0</v>
      </c>
      <c r="AM234" s="3">
        <f>X234*Feuil2!$I$2</f>
        <v>0</v>
      </c>
      <c r="AN234" s="3">
        <f>Y234*Feuil2!$J$3</f>
        <v>0</v>
      </c>
      <c r="AO234" s="3">
        <f>Z234*Feuil2!$K$3</f>
        <v>0</v>
      </c>
      <c r="AP234" s="3">
        <f>AA234*Feuil2!$L$3</f>
        <v>0</v>
      </c>
      <c r="AQ234" s="3">
        <f>AB234*Feuil2!$M$3</f>
        <v>0</v>
      </c>
      <c r="AR234" s="3">
        <f>AC234*Feuil2!$N$3</f>
        <v>213.92385702095388</v>
      </c>
    </row>
    <row r="235" spans="1:44" x14ac:dyDescent="0.35">
      <c r="A235" t="s">
        <v>468</v>
      </c>
      <c r="B235" t="s">
        <v>388</v>
      </c>
      <c r="C235">
        <v>49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9</v>
      </c>
      <c r="L235">
        <v>83</v>
      </c>
      <c r="M235">
        <v>52</v>
      </c>
      <c r="N235">
        <v>0</v>
      </c>
      <c r="O235">
        <v>193</v>
      </c>
      <c r="Q235" s="1">
        <f>C235/$C$434</f>
        <v>1.2096077414895455E-3</v>
      </c>
      <c r="R235" s="1">
        <f t="shared" si="47"/>
        <v>0</v>
      </c>
      <c r="S235" s="1">
        <f t="shared" si="51"/>
        <v>0</v>
      </c>
      <c r="T235" s="1">
        <f t="shared" si="52"/>
        <v>0</v>
      </c>
      <c r="U235" s="1">
        <f t="shared" si="53"/>
        <v>0</v>
      </c>
      <c r="V235" s="1">
        <f t="shared" si="54"/>
        <v>0</v>
      </c>
      <c r="W235" s="1">
        <f t="shared" si="55"/>
        <v>0</v>
      </c>
      <c r="X235" s="1">
        <f t="shared" si="56"/>
        <v>0</v>
      </c>
      <c r="Y235" s="1">
        <f t="shared" si="57"/>
        <v>2.30338085122719E-4</v>
      </c>
      <c r="Z235" s="1">
        <f t="shared" si="48"/>
        <v>2.1061713357693871E-3</v>
      </c>
      <c r="AA235" s="1">
        <f t="shared" si="44"/>
        <v>1.3018551435796009E-3</v>
      </c>
      <c r="AB235" s="1">
        <f t="shared" si="45"/>
        <v>0</v>
      </c>
      <c r="AC235" s="1">
        <f t="shared" si="46"/>
        <v>5.0830673282555331E-4</v>
      </c>
      <c r="AD235" s="1" t="str">
        <f t="shared" si="49"/>
        <v>SACOA CITROEN FLERS</v>
      </c>
      <c r="AE235" s="1" t="str">
        <f t="shared" si="50"/>
        <v>3011</v>
      </c>
      <c r="AF235" s="3">
        <f>Q235*Feuil2!$B$3</f>
        <v>42.789777086573352</v>
      </c>
      <c r="AG235" s="3">
        <f>R235*Feuil2!$C$3</f>
        <v>0</v>
      </c>
      <c r="AH235" s="3">
        <f>S235*Feuil2!$D$3</f>
        <v>0</v>
      </c>
      <c r="AI235" s="3">
        <f>T235*Feuil2!$E$2</f>
        <v>0</v>
      </c>
      <c r="AJ235" s="3">
        <f>U235*Feuil2!$F$3</f>
        <v>0</v>
      </c>
      <c r="AK235" s="3">
        <f>V235*Feuil2!$G$3</f>
        <v>0</v>
      </c>
      <c r="AL235" s="3">
        <f>W235*Feuil2!$H$3</f>
        <v>0</v>
      </c>
      <c r="AM235" s="3">
        <f>X235*Feuil2!$I$2</f>
        <v>0</v>
      </c>
      <c r="AN235" s="3">
        <f>Y235*Feuil2!$J$3</f>
        <v>9.7324382565966268</v>
      </c>
      <c r="AO235" s="3">
        <f>Z235*Feuil2!$K$3</f>
        <v>84.852841047503048</v>
      </c>
      <c r="AP235" s="3">
        <f>AA235*Feuil2!$L$3</f>
        <v>47.332172345592468</v>
      </c>
      <c r="AQ235" s="3">
        <f>AB235*Feuil2!$M$3</f>
        <v>0</v>
      </c>
      <c r="AR235" s="3">
        <f>AC235*Feuil2!$N$3</f>
        <v>212.82115672703139</v>
      </c>
    </row>
    <row r="236" spans="1:44" x14ac:dyDescent="0.35">
      <c r="A236" t="s">
        <v>469</v>
      </c>
      <c r="B236" t="s">
        <v>470</v>
      </c>
      <c r="C236">
        <v>0</v>
      </c>
      <c r="D236">
        <v>0</v>
      </c>
      <c r="E236">
        <v>0</v>
      </c>
      <c r="F236">
        <v>13</v>
      </c>
      <c r="G236">
        <v>0</v>
      </c>
      <c r="H236">
        <v>19</v>
      </c>
      <c r="I236">
        <v>12</v>
      </c>
      <c r="J236">
        <v>19</v>
      </c>
      <c r="K236">
        <v>31</v>
      </c>
      <c r="L236">
        <v>0</v>
      </c>
      <c r="M236">
        <v>98</v>
      </c>
      <c r="N236">
        <v>0</v>
      </c>
      <c r="O236">
        <v>192</v>
      </c>
      <c r="Q236" s="1">
        <f>C236/$C$434</f>
        <v>0</v>
      </c>
      <c r="R236" s="1">
        <f t="shared" si="47"/>
        <v>0</v>
      </c>
      <c r="S236" s="1">
        <f t="shared" si="51"/>
        <v>0</v>
      </c>
      <c r="T236" s="1">
        <f t="shared" si="52"/>
        <v>5.2202545878006663E-4</v>
      </c>
      <c r="U236" s="1">
        <f t="shared" si="53"/>
        <v>0</v>
      </c>
      <c r="V236" s="1">
        <f t="shared" si="54"/>
        <v>6.3602584273424157E-4</v>
      </c>
      <c r="W236" s="1">
        <f t="shared" si="55"/>
        <v>2.6870885395673789E-4</v>
      </c>
      <c r="X236" s="1">
        <f t="shared" si="56"/>
        <v>1.0150657121487338E-3</v>
      </c>
      <c r="Y236" s="1">
        <f t="shared" si="57"/>
        <v>7.9338673764492104E-4</v>
      </c>
      <c r="Z236" s="1">
        <f t="shared" si="48"/>
        <v>0</v>
      </c>
      <c r="AA236" s="1">
        <f t="shared" si="44"/>
        <v>2.4534962321307863E-3</v>
      </c>
      <c r="AB236" s="1">
        <f t="shared" si="45"/>
        <v>0</v>
      </c>
      <c r="AC236" s="1">
        <f t="shared" si="46"/>
        <v>5.0567301918397016E-4</v>
      </c>
      <c r="AD236" s="1" t="str">
        <f t="shared" si="49"/>
        <v>LGS</v>
      </c>
      <c r="AE236" s="1" t="str">
        <f t="shared" si="50"/>
        <v>5474</v>
      </c>
      <c r="AF236" s="3">
        <f>Q236*Feuil2!$B$3</f>
        <v>0</v>
      </c>
      <c r="AG236" s="3">
        <f>R236*Feuil2!$C$3</f>
        <v>0</v>
      </c>
      <c r="AH236" s="3">
        <f>S236*Feuil2!$D$3</f>
        <v>0</v>
      </c>
      <c r="AI236" s="3">
        <f>T236*Feuil2!$E$2</f>
        <v>19.567080271453239</v>
      </c>
      <c r="AJ236" s="3">
        <f>U236*Feuil2!$F$3</f>
        <v>0</v>
      </c>
      <c r="AK236" s="3">
        <f>V236*Feuil2!$G$3</f>
        <v>25.624031064841159</v>
      </c>
      <c r="AL236" s="3">
        <f>W236*Feuil2!$H$3</f>
        <v>9.7695767835550189</v>
      </c>
      <c r="AM236" s="3">
        <f>X236*Feuil2!$I$2</f>
        <v>21.683833742921252</v>
      </c>
      <c r="AN236" s="3">
        <f>Y236*Feuil2!$J$3</f>
        <v>33.52284288383283</v>
      </c>
      <c r="AO236" s="3">
        <f>Z236*Feuil2!$K$3</f>
        <v>0</v>
      </c>
      <c r="AP236" s="3">
        <f>AA236*Feuil2!$L$3</f>
        <v>89.20294018977043</v>
      </c>
      <c r="AQ236" s="3">
        <f>AB236*Feuil2!$M$3</f>
        <v>0</v>
      </c>
      <c r="AR236" s="3">
        <f>AC236*Feuil2!$N$3</f>
        <v>211.71845643310897</v>
      </c>
    </row>
    <row r="237" spans="1:44" x14ac:dyDescent="0.35">
      <c r="A237" t="s">
        <v>471</v>
      </c>
      <c r="B237" t="s">
        <v>472</v>
      </c>
      <c r="C237">
        <v>63</v>
      </c>
      <c r="D237">
        <v>32</v>
      </c>
      <c r="E237">
        <v>0</v>
      </c>
      <c r="F237">
        <v>0</v>
      </c>
      <c r="G237">
        <v>0</v>
      </c>
      <c r="H237">
        <v>0</v>
      </c>
      <c r="I237">
        <v>32</v>
      </c>
      <c r="J237">
        <v>0</v>
      </c>
      <c r="K237">
        <v>32</v>
      </c>
      <c r="L237">
        <v>0</v>
      </c>
      <c r="M237">
        <v>33</v>
      </c>
      <c r="N237">
        <v>0</v>
      </c>
      <c r="O237">
        <v>192</v>
      </c>
      <c r="Q237" s="1">
        <f>C237/$C$434</f>
        <v>1.5552099533437014E-3</v>
      </c>
      <c r="R237" s="1">
        <f t="shared" si="47"/>
        <v>1.3489587724475171E-3</v>
      </c>
      <c r="S237" s="1">
        <f t="shared" si="51"/>
        <v>0</v>
      </c>
      <c r="T237" s="1">
        <f t="shared" si="52"/>
        <v>0</v>
      </c>
      <c r="U237" s="1">
        <f t="shared" si="53"/>
        <v>0</v>
      </c>
      <c r="V237" s="1">
        <f t="shared" si="54"/>
        <v>0</v>
      </c>
      <c r="W237" s="1">
        <f t="shared" si="55"/>
        <v>7.1655694388463433E-4</v>
      </c>
      <c r="X237" s="1">
        <f t="shared" si="56"/>
        <v>0</v>
      </c>
      <c r="Y237" s="1">
        <f t="shared" si="57"/>
        <v>8.1897985821411203E-4</v>
      </c>
      <c r="Z237" s="1">
        <f t="shared" si="48"/>
        <v>0</v>
      </c>
      <c r="AA237" s="1">
        <f t="shared" si="44"/>
        <v>8.2617730265628522E-4</v>
      </c>
      <c r="AB237" s="1">
        <f t="shared" si="45"/>
        <v>0</v>
      </c>
      <c r="AC237" s="1">
        <f t="shared" si="46"/>
        <v>5.0567301918397016E-4</v>
      </c>
      <c r="AD237" s="1" t="str">
        <f t="shared" si="49"/>
        <v>RIV AUTO</v>
      </c>
      <c r="AE237" s="1" t="str">
        <f t="shared" si="50"/>
        <v>5130</v>
      </c>
      <c r="AF237" s="3">
        <f>Q237*Feuil2!$B$3</f>
        <v>55.015427682737169</v>
      </c>
      <c r="AG237" s="3">
        <f>R237*Feuil2!$C$3</f>
        <v>47.719308658629117</v>
      </c>
      <c r="AH237" s="3">
        <f>S237*Feuil2!$D$3</f>
        <v>0</v>
      </c>
      <c r="AI237" s="3">
        <f>T237*Feuil2!$E$2</f>
        <v>0</v>
      </c>
      <c r="AJ237" s="3">
        <f>U237*Feuil2!$F$3</f>
        <v>0</v>
      </c>
      <c r="AK237" s="3">
        <f>V237*Feuil2!$G$3</f>
        <v>0</v>
      </c>
      <c r="AL237" s="3">
        <f>W237*Feuil2!$H$3</f>
        <v>26.052204756146718</v>
      </c>
      <c r="AM237" s="3">
        <f>X237*Feuil2!$I$2</f>
        <v>0</v>
      </c>
      <c r="AN237" s="3">
        <f>Y237*Feuil2!$J$3</f>
        <v>34.604224912343568</v>
      </c>
      <c r="AO237" s="3">
        <f>Z237*Feuil2!$K$3</f>
        <v>0</v>
      </c>
      <c r="AP237" s="3">
        <f>AA237*Feuil2!$L$3</f>
        <v>30.037724757779838</v>
      </c>
      <c r="AQ237" s="3">
        <f>AB237*Feuil2!$M$3</f>
        <v>0</v>
      </c>
      <c r="AR237" s="3">
        <f>AC237*Feuil2!$N$3</f>
        <v>211.71845643310897</v>
      </c>
    </row>
    <row r="238" spans="1:44" x14ac:dyDescent="0.35">
      <c r="A238" t="s">
        <v>473</v>
      </c>
      <c r="B238" t="s">
        <v>474</v>
      </c>
      <c r="C238">
        <v>0</v>
      </c>
      <c r="D238">
        <v>17</v>
      </c>
      <c r="E238">
        <v>17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157</v>
      </c>
      <c r="L238">
        <v>0</v>
      </c>
      <c r="M238">
        <v>0</v>
      </c>
      <c r="N238">
        <v>0</v>
      </c>
      <c r="O238">
        <v>191</v>
      </c>
      <c r="Q238" s="1">
        <f>C238/$C$434</f>
        <v>0</v>
      </c>
      <c r="R238" s="1">
        <f t="shared" si="47"/>
        <v>7.1663434786274345E-4</v>
      </c>
      <c r="S238" s="1">
        <f t="shared" si="51"/>
        <v>5.7707322040802473E-4</v>
      </c>
      <c r="T238" s="1">
        <f t="shared" si="52"/>
        <v>0</v>
      </c>
      <c r="U238" s="1">
        <f t="shared" si="53"/>
        <v>0</v>
      </c>
      <c r="V238" s="1">
        <f t="shared" si="54"/>
        <v>0</v>
      </c>
      <c r="W238" s="1">
        <f t="shared" si="55"/>
        <v>0</v>
      </c>
      <c r="X238" s="1">
        <f t="shared" si="56"/>
        <v>0</v>
      </c>
      <c r="Y238" s="1">
        <f t="shared" si="57"/>
        <v>4.0181199293629873E-3</v>
      </c>
      <c r="Z238" s="1">
        <f t="shared" si="48"/>
        <v>0</v>
      </c>
      <c r="AA238" s="1">
        <f t="shared" si="44"/>
        <v>0</v>
      </c>
      <c r="AB238" s="1">
        <f t="shared" si="45"/>
        <v>0</v>
      </c>
      <c r="AC238" s="1">
        <f t="shared" si="46"/>
        <v>5.0303930554238701E-4</v>
      </c>
      <c r="AD238" s="1" t="str">
        <f t="shared" si="49"/>
        <v>GARAGE DES SOURCES</v>
      </c>
      <c r="AE238" s="1" t="str">
        <f t="shared" si="50"/>
        <v>135179</v>
      </c>
      <c r="AF238" s="3">
        <f>Q238*Feuil2!$B$3</f>
        <v>0</v>
      </c>
      <c r="AG238" s="3">
        <f>R238*Feuil2!$C$3</f>
        <v>25.350882724896721</v>
      </c>
      <c r="AH238" s="3">
        <f>S238*Feuil2!$D$3</f>
        <v>22.677708000950474</v>
      </c>
      <c r="AI238" s="3">
        <f>T238*Feuil2!$E$2</f>
        <v>0</v>
      </c>
      <c r="AJ238" s="3">
        <f>U238*Feuil2!$F$3</f>
        <v>0</v>
      </c>
      <c r="AK238" s="3">
        <f>V238*Feuil2!$G$3</f>
        <v>0</v>
      </c>
      <c r="AL238" s="3">
        <f>W238*Feuil2!$H$3</f>
        <v>0</v>
      </c>
      <c r="AM238" s="3">
        <f>X238*Feuil2!$I$2</f>
        <v>0</v>
      </c>
      <c r="AN238" s="3">
        <f>Y238*Feuil2!$J$3</f>
        <v>169.77697847618563</v>
      </c>
      <c r="AO238" s="3">
        <f>Z238*Feuil2!$K$3</f>
        <v>0</v>
      </c>
      <c r="AP238" s="3">
        <f>AA238*Feuil2!$L$3</f>
        <v>0</v>
      </c>
      <c r="AQ238" s="3">
        <f>AB238*Feuil2!$M$3</f>
        <v>0</v>
      </c>
      <c r="AR238" s="3">
        <f>AC238*Feuil2!$N$3</f>
        <v>210.61575613918652</v>
      </c>
    </row>
    <row r="239" spans="1:44" x14ac:dyDescent="0.35">
      <c r="A239" t="s">
        <v>475</v>
      </c>
      <c r="B239" t="s">
        <v>476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186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186</v>
      </c>
      <c r="Q239" s="1">
        <f>C239/$C$434</f>
        <v>0</v>
      </c>
      <c r="R239" s="1">
        <f t="shared" si="47"/>
        <v>0</v>
      </c>
      <c r="S239" s="1">
        <f t="shared" si="51"/>
        <v>0</v>
      </c>
      <c r="T239" s="1">
        <f t="shared" si="52"/>
        <v>0</v>
      </c>
      <c r="U239" s="1">
        <f t="shared" si="53"/>
        <v>0</v>
      </c>
      <c r="V239" s="1">
        <f t="shared" si="54"/>
        <v>0</v>
      </c>
      <c r="W239" s="1">
        <f t="shared" si="55"/>
        <v>4.1649872363294371E-3</v>
      </c>
      <c r="X239" s="1">
        <f t="shared" si="56"/>
        <v>0</v>
      </c>
      <c r="Y239" s="1">
        <f t="shared" si="57"/>
        <v>0</v>
      </c>
      <c r="Z239" s="1">
        <f t="shared" si="48"/>
        <v>0</v>
      </c>
      <c r="AA239" s="1">
        <f t="shared" si="44"/>
        <v>0</v>
      </c>
      <c r="AB239" s="1">
        <f t="shared" si="45"/>
        <v>0</v>
      </c>
      <c r="AC239" s="1">
        <f t="shared" si="46"/>
        <v>4.8987073733447115E-4</v>
      </c>
      <c r="AD239" s="1" t="str">
        <f t="shared" si="49"/>
        <v>LEMARROIS</v>
      </c>
      <c r="AE239" s="1" t="str">
        <f t="shared" si="50"/>
        <v>5160</v>
      </c>
      <c r="AF239" s="3">
        <f>Q239*Feuil2!$B$3</f>
        <v>0</v>
      </c>
      <c r="AG239" s="3">
        <f>R239*Feuil2!$C$3</f>
        <v>0</v>
      </c>
      <c r="AH239" s="3">
        <f>S239*Feuil2!$D$3</f>
        <v>0</v>
      </c>
      <c r="AI239" s="3">
        <f>T239*Feuil2!$E$2</f>
        <v>0</v>
      </c>
      <c r="AJ239" s="3">
        <f>U239*Feuil2!$F$3</f>
        <v>0</v>
      </c>
      <c r="AK239" s="3">
        <f>V239*Feuil2!$G$3</f>
        <v>0</v>
      </c>
      <c r="AL239" s="3">
        <f>W239*Feuil2!$H$3</f>
        <v>151.4284401451028</v>
      </c>
      <c r="AM239" s="3">
        <f>X239*Feuil2!$I$2</f>
        <v>0</v>
      </c>
      <c r="AN239" s="3">
        <f>Y239*Feuil2!$J$3</f>
        <v>0</v>
      </c>
      <c r="AO239" s="3">
        <f>Z239*Feuil2!$K$3</f>
        <v>0</v>
      </c>
      <c r="AP239" s="3">
        <f>AA239*Feuil2!$L$3</f>
        <v>0</v>
      </c>
      <c r="AQ239" s="3">
        <f>AB239*Feuil2!$M$3</f>
        <v>0</v>
      </c>
      <c r="AR239" s="3">
        <f>AC239*Feuil2!$N$3</f>
        <v>205.10225466957434</v>
      </c>
    </row>
    <row r="240" spans="1:44" x14ac:dyDescent="0.35">
      <c r="A240" t="s">
        <v>477</v>
      </c>
      <c r="B240" t="s">
        <v>478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139</v>
      </c>
      <c r="I240">
        <v>0</v>
      </c>
      <c r="J240">
        <v>0</v>
      </c>
      <c r="K240">
        <v>0</v>
      </c>
      <c r="L240">
        <v>0</v>
      </c>
      <c r="M240">
        <v>44</v>
      </c>
      <c r="N240">
        <v>0</v>
      </c>
      <c r="O240">
        <v>183</v>
      </c>
      <c r="Q240" s="1">
        <f>C240/$C$434</f>
        <v>0</v>
      </c>
      <c r="R240" s="1">
        <f t="shared" si="47"/>
        <v>0</v>
      </c>
      <c r="S240" s="1">
        <f t="shared" si="51"/>
        <v>0</v>
      </c>
      <c r="T240" s="1">
        <f t="shared" si="52"/>
        <v>0</v>
      </c>
      <c r="U240" s="1">
        <f t="shared" si="53"/>
        <v>0</v>
      </c>
      <c r="V240" s="1">
        <f t="shared" si="54"/>
        <v>4.6530311652662939E-3</v>
      </c>
      <c r="W240" s="1">
        <f t="shared" si="55"/>
        <v>0</v>
      </c>
      <c r="X240" s="1">
        <f t="shared" si="56"/>
        <v>0</v>
      </c>
      <c r="Y240" s="1">
        <f t="shared" si="57"/>
        <v>0</v>
      </c>
      <c r="Z240" s="1">
        <f t="shared" si="48"/>
        <v>0</v>
      </c>
      <c r="AA240" s="1">
        <f t="shared" si="44"/>
        <v>1.101569736875047E-3</v>
      </c>
      <c r="AB240" s="1">
        <f t="shared" si="45"/>
        <v>0</v>
      </c>
      <c r="AC240" s="1">
        <f t="shared" si="46"/>
        <v>4.8196959640972158E-4</v>
      </c>
      <c r="AD240" s="1" t="str">
        <f t="shared" si="49"/>
        <v>VOISIN</v>
      </c>
      <c r="AE240" s="1" t="str">
        <f t="shared" si="50"/>
        <v>3262</v>
      </c>
      <c r="AF240" s="3">
        <f>Q240*Feuil2!$B$3</f>
        <v>0</v>
      </c>
      <c r="AG240" s="3">
        <f>R240*Feuil2!$C$3</f>
        <v>0</v>
      </c>
      <c r="AH240" s="3">
        <f>S240*Feuil2!$D$3</f>
        <v>0</v>
      </c>
      <c r="AI240" s="3">
        <f>T240*Feuil2!$E$2</f>
        <v>0</v>
      </c>
      <c r="AJ240" s="3">
        <f>U240*Feuil2!$F$3</f>
        <v>0</v>
      </c>
      <c r="AK240" s="3">
        <f>V240*Feuil2!$G$3</f>
        <v>187.46001673752218</v>
      </c>
      <c r="AL240" s="3">
        <f>W240*Feuil2!$H$3</f>
        <v>0</v>
      </c>
      <c r="AM240" s="3">
        <f>X240*Feuil2!$I$2</f>
        <v>0</v>
      </c>
      <c r="AN240" s="3">
        <f>Y240*Feuil2!$J$3</f>
        <v>0</v>
      </c>
      <c r="AO240" s="3">
        <f>Z240*Feuil2!$K$3</f>
        <v>0</v>
      </c>
      <c r="AP240" s="3">
        <f>AA240*Feuil2!$L$3</f>
        <v>40.050299677039789</v>
      </c>
      <c r="AQ240" s="3">
        <f>AB240*Feuil2!$M$3</f>
        <v>0</v>
      </c>
      <c r="AR240" s="3">
        <f>AC240*Feuil2!$N$3</f>
        <v>201.79415378780698</v>
      </c>
    </row>
    <row r="241" spans="1:44" x14ac:dyDescent="0.35">
      <c r="A241" t="s">
        <v>479</v>
      </c>
      <c r="B241" t="s">
        <v>480</v>
      </c>
      <c r="C241">
        <v>0</v>
      </c>
      <c r="D241">
        <v>0</v>
      </c>
      <c r="E241">
        <v>0</v>
      </c>
      <c r="F241">
        <v>20</v>
      </c>
      <c r="G241">
        <v>44</v>
      </c>
      <c r="H241">
        <v>0</v>
      </c>
      <c r="I241">
        <v>0</v>
      </c>
      <c r="J241">
        <v>0</v>
      </c>
      <c r="K241">
        <v>0</v>
      </c>
      <c r="L241">
        <v>118</v>
      </c>
      <c r="M241">
        <v>0</v>
      </c>
      <c r="N241">
        <v>0</v>
      </c>
      <c r="O241">
        <v>182</v>
      </c>
      <c r="Q241" s="1">
        <f>C241/$C$434</f>
        <v>0</v>
      </c>
      <c r="R241" s="1">
        <f t="shared" si="47"/>
        <v>0</v>
      </c>
      <c r="S241" s="1">
        <f t="shared" si="51"/>
        <v>0</v>
      </c>
      <c r="T241" s="1">
        <f t="shared" si="52"/>
        <v>8.0311609043087176E-4</v>
      </c>
      <c r="U241" s="1">
        <f t="shared" si="53"/>
        <v>2.0974354085232147E-3</v>
      </c>
      <c r="V241" s="1">
        <f t="shared" si="54"/>
        <v>0</v>
      </c>
      <c r="W241" s="1">
        <f t="shared" si="55"/>
        <v>0</v>
      </c>
      <c r="X241" s="1">
        <f t="shared" si="56"/>
        <v>0</v>
      </c>
      <c r="Y241" s="1">
        <f t="shared" si="57"/>
        <v>0</v>
      </c>
      <c r="Z241" s="1">
        <f t="shared" si="48"/>
        <v>2.9943158749492489E-3</v>
      </c>
      <c r="AA241" s="1">
        <f t="shared" si="44"/>
        <v>0</v>
      </c>
      <c r="AB241" s="1">
        <f t="shared" si="45"/>
        <v>0</v>
      </c>
      <c r="AC241" s="1">
        <f t="shared" si="46"/>
        <v>4.7933588276813838E-4</v>
      </c>
      <c r="AD241" s="1" t="str">
        <f t="shared" si="49"/>
        <v>JM CARROSSERIE</v>
      </c>
      <c r="AE241" s="1" t="str">
        <f t="shared" si="50"/>
        <v>3785</v>
      </c>
      <c r="AF241" s="3">
        <f>Q241*Feuil2!$B$3</f>
        <v>0</v>
      </c>
      <c r="AG241" s="3">
        <f>R241*Feuil2!$C$3</f>
        <v>0</v>
      </c>
      <c r="AH241" s="3">
        <f>S241*Feuil2!$D$3</f>
        <v>0</v>
      </c>
      <c r="AI241" s="3">
        <f>T241*Feuil2!$E$2</f>
        <v>30.103200417620368</v>
      </c>
      <c r="AJ241" s="3">
        <f>U241*Feuil2!$F$3</f>
        <v>53.586118791114501</v>
      </c>
      <c r="AK241" s="3">
        <f>V241*Feuil2!$G$3</f>
        <v>0</v>
      </c>
      <c r="AL241" s="3">
        <f>W241*Feuil2!$H$3</f>
        <v>0</v>
      </c>
      <c r="AM241" s="3">
        <f>X241*Feuil2!$I$2</f>
        <v>0</v>
      </c>
      <c r="AN241" s="3">
        <f>Y241*Feuil2!$J$3</f>
        <v>0</v>
      </c>
      <c r="AO241" s="3">
        <f>Z241*Feuil2!$K$3</f>
        <v>120.63415956151036</v>
      </c>
      <c r="AP241" s="3">
        <f>AA241*Feuil2!$L$3</f>
        <v>0</v>
      </c>
      <c r="AQ241" s="3">
        <f>AB241*Feuil2!$M$3</f>
        <v>0</v>
      </c>
      <c r="AR241" s="3">
        <f>AC241*Feuil2!$N$3</f>
        <v>200.69145349388452</v>
      </c>
    </row>
    <row r="242" spans="1:44" x14ac:dyDescent="0.35">
      <c r="A242" t="s">
        <v>481</v>
      </c>
      <c r="B242" t="s">
        <v>482</v>
      </c>
      <c r="C242">
        <v>12</v>
      </c>
      <c r="D242">
        <v>10</v>
      </c>
      <c r="E242">
        <v>0</v>
      </c>
      <c r="F242">
        <v>61</v>
      </c>
      <c r="G242">
        <v>0</v>
      </c>
      <c r="H242">
        <v>0</v>
      </c>
      <c r="I242">
        <v>96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179</v>
      </c>
      <c r="Q242" s="1">
        <f>C242/$C$434</f>
        <v>2.9623046730356219E-4</v>
      </c>
      <c r="R242" s="1">
        <f t="shared" si="47"/>
        <v>4.2154961638984906E-4</v>
      </c>
      <c r="S242" s="1">
        <f t="shared" si="51"/>
        <v>0</v>
      </c>
      <c r="T242" s="1">
        <f t="shared" si="52"/>
        <v>2.4495040758141591E-3</v>
      </c>
      <c r="U242" s="1">
        <f t="shared" si="53"/>
        <v>0</v>
      </c>
      <c r="V242" s="1">
        <f t="shared" si="54"/>
        <v>0</v>
      </c>
      <c r="W242" s="1">
        <f t="shared" si="55"/>
        <v>2.1496708316539031E-3</v>
      </c>
      <c r="X242" s="1">
        <f t="shared" si="56"/>
        <v>0</v>
      </c>
      <c r="Y242" s="1">
        <f t="shared" si="57"/>
        <v>0</v>
      </c>
      <c r="Z242" s="1">
        <f t="shared" si="48"/>
        <v>0</v>
      </c>
      <c r="AA242" s="1">
        <f t="shared" si="44"/>
        <v>0</v>
      </c>
      <c r="AB242" s="1">
        <f t="shared" si="45"/>
        <v>0</v>
      </c>
      <c r="AC242" s="1">
        <f t="shared" si="46"/>
        <v>4.7143474184338887E-4</v>
      </c>
      <c r="AD242" s="1" t="str">
        <f t="shared" si="49"/>
        <v>CAR PROJECT</v>
      </c>
      <c r="AE242" s="1" t="str">
        <f t="shared" si="50"/>
        <v>3960</v>
      </c>
      <c r="AF242" s="3">
        <f>Q242*Feuil2!$B$3</f>
        <v>10.479129082426129</v>
      </c>
      <c r="AG242" s="3">
        <f>R242*Feuil2!$C$3</f>
        <v>14.912283955821598</v>
      </c>
      <c r="AH242" s="3">
        <f>S242*Feuil2!$D$3</f>
        <v>0</v>
      </c>
      <c r="AI242" s="3">
        <f>T242*Feuil2!$E$2</f>
        <v>91.814761273742121</v>
      </c>
      <c r="AJ242" s="3">
        <f>U242*Feuil2!$F$3</f>
        <v>0</v>
      </c>
      <c r="AK242" s="3">
        <f>V242*Feuil2!$G$3</f>
        <v>0</v>
      </c>
      <c r="AL242" s="3">
        <f>W242*Feuil2!$H$3</f>
        <v>78.156614268440151</v>
      </c>
      <c r="AM242" s="3">
        <f>X242*Feuil2!$I$2</f>
        <v>0</v>
      </c>
      <c r="AN242" s="3">
        <f>Y242*Feuil2!$J$3</f>
        <v>0</v>
      </c>
      <c r="AO242" s="3">
        <f>Z242*Feuil2!$K$3</f>
        <v>0</v>
      </c>
      <c r="AP242" s="3">
        <f>AA242*Feuil2!$L$3</f>
        <v>0</v>
      </c>
      <c r="AQ242" s="3">
        <f>AB242*Feuil2!$M$3</f>
        <v>0</v>
      </c>
      <c r="AR242" s="3">
        <f>AC242*Feuil2!$N$3</f>
        <v>197.38335261211722</v>
      </c>
    </row>
    <row r="243" spans="1:44" x14ac:dyDescent="0.35">
      <c r="A243" t="s">
        <v>483</v>
      </c>
      <c r="B243" t="s">
        <v>484</v>
      </c>
      <c r="C243">
        <v>0</v>
      </c>
      <c r="D243">
        <v>0</v>
      </c>
      <c r="E243">
        <v>0</v>
      </c>
      <c r="F243">
        <v>178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178</v>
      </c>
      <c r="Q243" s="1">
        <f>C243/$C$434</f>
        <v>0</v>
      </c>
      <c r="R243" s="1">
        <f t="shared" si="47"/>
        <v>0</v>
      </c>
      <c r="S243" s="1">
        <f t="shared" si="51"/>
        <v>0</v>
      </c>
      <c r="T243" s="1">
        <f t="shared" si="52"/>
        <v>7.1477332048347593E-3</v>
      </c>
      <c r="U243" s="1">
        <f t="shared" si="53"/>
        <v>0</v>
      </c>
      <c r="V243" s="1">
        <f t="shared" si="54"/>
        <v>0</v>
      </c>
      <c r="W243" s="1">
        <f t="shared" si="55"/>
        <v>0</v>
      </c>
      <c r="X243" s="1">
        <f t="shared" si="56"/>
        <v>0</v>
      </c>
      <c r="Y243" s="1">
        <f t="shared" si="57"/>
        <v>0</v>
      </c>
      <c r="Z243" s="1">
        <f t="shared" si="48"/>
        <v>0</v>
      </c>
      <c r="AA243" s="1">
        <f t="shared" si="44"/>
        <v>0</v>
      </c>
      <c r="AB243" s="1">
        <f t="shared" si="45"/>
        <v>0</v>
      </c>
      <c r="AC243" s="1">
        <f t="shared" si="46"/>
        <v>4.6880102820180566E-4</v>
      </c>
      <c r="AD243" s="1" t="str">
        <f t="shared" si="49"/>
        <v>GARAGE ALIX</v>
      </c>
      <c r="AE243" s="1" t="str">
        <f t="shared" si="50"/>
        <v>5955</v>
      </c>
      <c r="AF243" s="3">
        <f>Q243*Feuil2!$B$3</f>
        <v>0</v>
      </c>
      <c r="AG243" s="3">
        <f>R243*Feuil2!$C$3</f>
        <v>0</v>
      </c>
      <c r="AH243" s="3">
        <f>S243*Feuil2!$D$3</f>
        <v>0</v>
      </c>
      <c r="AI243" s="3">
        <f>T243*Feuil2!$E$2</f>
        <v>267.9184837168213</v>
      </c>
      <c r="AJ243" s="3">
        <f>U243*Feuil2!$F$3</f>
        <v>0</v>
      </c>
      <c r="AK243" s="3">
        <f>V243*Feuil2!$G$3</f>
        <v>0</v>
      </c>
      <c r="AL243" s="3">
        <f>W243*Feuil2!$H$3</f>
        <v>0</v>
      </c>
      <c r="AM243" s="3">
        <f>X243*Feuil2!$I$2</f>
        <v>0</v>
      </c>
      <c r="AN243" s="3">
        <f>Y243*Feuil2!$J$3</f>
        <v>0</v>
      </c>
      <c r="AO243" s="3">
        <f>Z243*Feuil2!$K$3</f>
        <v>0</v>
      </c>
      <c r="AP243" s="3">
        <f>AA243*Feuil2!$L$3</f>
        <v>0</v>
      </c>
      <c r="AQ243" s="3">
        <f>AB243*Feuil2!$M$3</f>
        <v>0</v>
      </c>
      <c r="AR243" s="3">
        <f>AC243*Feuil2!$N$3</f>
        <v>196.28065231819477</v>
      </c>
    </row>
    <row r="244" spans="1:44" x14ac:dyDescent="0.35">
      <c r="A244" t="s">
        <v>485</v>
      </c>
      <c r="B244" t="s">
        <v>486</v>
      </c>
      <c r="C244">
        <v>0</v>
      </c>
      <c r="D244">
        <v>21</v>
      </c>
      <c r="E244">
        <v>0</v>
      </c>
      <c r="F244">
        <v>29</v>
      </c>
      <c r="G244">
        <v>0</v>
      </c>
      <c r="H244">
        <v>58</v>
      </c>
      <c r="I244">
        <v>0</v>
      </c>
      <c r="J244">
        <v>43</v>
      </c>
      <c r="K244">
        <v>26</v>
      </c>
      <c r="L244">
        <v>0</v>
      </c>
      <c r="M244">
        <v>0</v>
      </c>
      <c r="N244">
        <v>0</v>
      </c>
      <c r="O244">
        <v>177</v>
      </c>
      <c r="Q244" s="1">
        <f>C244/$C$434</f>
        <v>0</v>
      </c>
      <c r="R244" s="1">
        <f t="shared" si="47"/>
        <v>8.8525419441868312E-4</v>
      </c>
      <c r="S244" s="1">
        <f t="shared" si="51"/>
        <v>0</v>
      </c>
      <c r="T244" s="1">
        <f t="shared" si="52"/>
        <v>1.1645183311247641E-3</v>
      </c>
      <c r="U244" s="1">
        <f t="shared" si="53"/>
        <v>0</v>
      </c>
      <c r="V244" s="1">
        <f t="shared" si="54"/>
        <v>1.9415525725571586E-3</v>
      </c>
      <c r="W244" s="1">
        <f t="shared" si="55"/>
        <v>0</v>
      </c>
      <c r="X244" s="1">
        <f t="shared" si="56"/>
        <v>2.2972539801260818E-3</v>
      </c>
      <c r="Y244" s="1">
        <f t="shared" si="57"/>
        <v>6.6542113479896607E-4</v>
      </c>
      <c r="Z244" s="1">
        <f t="shared" si="48"/>
        <v>0</v>
      </c>
      <c r="AA244" s="1">
        <f t="shared" si="44"/>
        <v>0</v>
      </c>
      <c r="AB244" s="1">
        <f t="shared" si="45"/>
        <v>0</v>
      </c>
      <c r="AC244" s="1">
        <f t="shared" si="46"/>
        <v>4.6616731456022251E-4</v>
      </c>
      <c r="AD244" s="1" t="str">
        <f t="shared" si="49"/>
        <v>DICOMA CONCESSION CITROEN BAYE</v>
      </c>
      <c r="AE244" s="1" t="str">
        <f t="shared" si="50"/>
        <v>4419</v>
      </c>
      <c r="AF244" s="3">
        <f>Q244*Feuil2!$B$3</f>
        <v>0</v>
      </c>
      <c r="AG244" s="3">
        <f>R244*Feuil2!$C$3</f>
        <v>31.315796307225359</v>
      </c>
      <c r="AH244" s="3">
        <f>S244*Feuil2!$D$3</f>
        <v>0</v>
      </c>
      <c r="AI244" s="3">
        <f>T244*Feuil2!$E$2</f>
        <v>43.649640605549536</v>
      </c>
      <c r="AJ244" s="3">
        <f>U244*Feuil2!$F$3</f>
        <v>0</v>
      </c>
      <c r="AK244" s="3">
        <f>V244*Feuil2!$G$3</f>
        <v>78.220726408462497</v>
      </c>
      <c r="AL244" s="3">
        <f>W244*Feuil2!$H$3</f>
        <v>0</v>
      </c>
      <c r="AM244" s="3">
        <f>X244*Feuil2!$I$2</f>
        <v>49.073939523453362</v>
      </c>
      <c r="AN244" s="3">
        <f>Y244*Feuil2!$J$3</f>
        <v>28.115932741279149</v>
      </c>
      <c r="AO244" s="3">
        <f>Z244*Feuil2!$K$3</f>
        <v>0</v>
      </c>
      <c r="AP244" s="3">
        <f>AA244*Feuil2!$L$3</f>
        <v>0</v>
      </c>
      <c r="AQ244" s="3">
        <f>AB244*Feuil2!$M$3</f>
        <v>0</v>
      </c>
      <c r="AR244" s="3">
        <f>AC244*Feuil2!$N$3</f>
        <v>195.17795202427234</v>
      </c>
    </row>
    <row r="245" spans="1:44" x14ac:dyDescent="0.35">
      <c r="A245" t="s">
        <v>487</v>
      </c>
      <c r="B245" t="s">
        <v>488</v>
      </c>
      <c r="C245">
        <v>0</v>
      </c>
      <c r="D245">
        <v>0</v>
      </c>
      <c r="E245">
        <v>63</v>
      </c>
      <c r="F245">
        <v>0</v>
      </c>
      <c r="G245">
        <v>0</v>
      </c>
      <c r="H245">
        <v>0</v>
      </c>
      <c r="I245">
        <v>49</v>
      </c>
      <c r="J245">
        <v>43</v>
      </c>
      <c r="K245">
        <v>20</v>
      </c>
      <c r="L245">
        <v>23</v>
      </c>
      <c r="M245">
        <v>-21</v>
      </c>
      <c r="N245">
        <v>0</v>
      </c>
      <c r="O245">
        <v>177</v>
      </c>
      <c r="Q245" s="1">
        <f>C245/$C$434</f>
        <v>0</v>
      </c>
      <c r="R245" s="1">
        <f t="shared" si="47"/>
        <v>0</v>
      </c>
      <c r="S245" s="1">
        <f t="shared" si="51"/>
        <v>2.1385654638650326E-3</v>
      </c>
      <c r="T245" s="1">
        <f t="shared" si="52"/>
        <v>0</v>
      </c>
      <c r="U245" s="1">
        <f t="shared" si="53"/>
        <v>0</v>
      </c>
      <c r="V245" s="1">
        <f t="shared" si="54"/>
        <v>0</v>
      </c>
      <c r="W245" s="1">
        <f t="shared" si="55"/>
        <v>1.0972278203233462E-3</v>
      </c>
      <c r="X245" s="1">
        <f t="shared" si="56"/>
        <v>2.2972539801260818E-3</v>
      </c>
      <c r="Y245" s="1">
        <f t="shared" si="57"/>
        <v>5.1186241138381999E-4</v>
      </c>
      <c r="Z245" s="1">
        <f t="shared" si="48"/>
        <v>5.8363784003248066E-4</v>
      </c>
      <c r="AA245" s="1">
        <f t="shared" si="44"/>
        <v>-5.2574919259945423E-4</v>
      </c>
      <c r="AB245" s="1">
        <f t="shared" si="45"/>
        <v>0</v>
      </c>
      <c r="AC245" s="1">
        <f t="shared" si="46"/>
        <v>4.6616731456022251E-4</v>
      </c>
      <c r="AD245" s="1" t="str">
        <f t="shared" si="49"/>
        <v>LEMARCHAND OLIVIER</v>
      </c>
      <c r="AE245" s="1" t="str">
        <f t="shared" si="50"/>
        <v>5314</v>
      </c>
      <c r="AF245" s="3">
        <f>Q245*Feuil2!$B$3</f>
        <v>0</v>
      </c>
      <c r="AG245" s="3">
        <f>R245*Feuil2!$C$3</f>
        <v>0</v>
      </c>
      <c r="AH245" s="3">
        <f>S245*Feuil2!$D$3</f>
        <v>84.040917885875288</v>
      </c>
      <c r="AI245" s="3">
        <f>T245*Feuil2!$E$2</f>
        <v>0</v>
      </c>
      <c r="AJ245" s="3">
        <f>U245*Feuil2!$F$3</f>
        <v>0</v>
      </c>
      <c r="AK245" s="3">
        <f>V245*Feuil2!$G$3</f>
        <v>0</v>
      </c>
      <c r="AL245" s="3">
        <f>W245*Feuil2!$H$3</f>
        <v>39.89243853284966</v>
      </c>
      <c r="AM245" s="3">
        <f>X245*Feuil2!$I$2</f>
        <v>49.073939523453362</v>
      </c>
      <c r="AN245" s="3">
        <f>Y245*Feuil2!$J$3</f>
        <v>21.627640570214727</v>
      </c>
      <c r="AO245" s="3">
        <f>Z245*Feuil2!$K$3</f>
        <v>23.513437880633372</v>
      </c>
      <c r="AP245" s="3">
        <f>AA245*Feuil2!$L$3</f>
        <v>-19.114915754950808</v>
      </c>
      <c r="AQ245" s="3">
        <f>AB245*Feuil2!$M$3</f>
        <v>0</v>
      </c>
      <c r="AR245" s="3">
        <f>AC245*Feuil2!$N$3</f>
        <v>195.17795202427234</v>
      </c>
    </row>
    <row r="246" spans="1:44" x14ac:dyDescent="0.35">
      <c r="A246" t="s">
        <v>489</v>
      </c>
      <c r="B246" t="s">
        <v>490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176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176</v>
      </c>
      <c r="Q246" s="1">
        <f>C246/$C$434</f>
        <v>0</v>
      </c>
      <c r="R246" s="1">
        <f t="shared" si="47"/>
        <v>0</v>
      </c>
      <c r="S246" s="1">
        <f t="shared" si="51"/>
        <v>0</v>
      </c>
      <c r="T246" s="1">
        <f t="shared" si="52"/>
        <v>0</v>
      </c>
      <c r="U246" s="1">
        <f t="shared" si="53"/>
        <v>0</v>
      </c>
      <c r="V246" s="1">
        <f t="shared" si="54"/>
        <v>0</v>
      </c>
      <c r="W246" s="1">
        <f t="shared" si="55"/>
        <v>3.9410631913654884E-3</v>
      </c>
      <c r="X246" s="1">
        <f t="shared" si="56"/>
        <v>0</v>
      </c>
      <c r="Y246" s="1">
        <f t="shared" si="57"/>
        <v>0</v>
      </c>
      <c r="Z246" s="1">
        <f t="shared" si="48"/>
        <v>0</v>
      </c>
      <c r="AA246" s="1">
        <f t="shared" si="44"/>
        <v>0</v>
      </c>
      <c r="AB246" s="1">
        <f t="shared" si="45"/>
        <v>0</v>
      </c>
      <c r="AC246" s="1">
        <f t="shared" si="46"/>
        <v>4.6353360091863931E-4</v>
      </c>
      <c r="AD246" s="1" t="str">
        <f t="shared" si="49"/>
        <v>DOZULE AUTO</v>
      </c>
      <c r="AE246" s="1" t="str">
        <f t="shared" si="50"/>
        <v>5426</v>
      </c>
      <c r="AF246" s="3">
        <f>Q246*Feuil2!$B$3</f>
        <v>0</v>
      </c>
      <c r="AG246" s="3">
        <f>R246*Feuil2!$C$3</f>
        <v>0</v>
      </c>
      <c r="AH246" s="3">
        <f>S246*Feuil2!$D$3</f>
        <v>0</v>
      </c>
      <c r="AI246" s="3">
        <f>T246*Feuil2!$E$2</f>
        <v>0</v>
      </c>
      <c r="AJ246" s="3">
        <f>U246*Feuil2!$F$3</f>
        <v>0</v>
      </c>
      <c r="AK246" s="3">
        <f>V246*Feuil2!$G$3</f>
        <v>0</v>
      </c>
      <c r="AL246" s="3">
        <f>W246*Feuil2!$H$3</f>
        <v>143.28712615880693</v>
      </c>
      <c r="AM246" s="3">
        <f>X246*Feuil2!$I$2</f>
        <v>0</v>
      </c>
      <c r="AN246" s="3">
        <f>Y246*Feuil2!$J$3</f>
        <v>0</v>
      </c>
      <c r="AO246" s="3">
        <f>Z246*Feuil2!$K$3</f>
        <v>0</v>
      </c>
      <c r="AP246" s="3">
        <f>AA246*Feuil2!$L$3</f>
        <v>0</v>
      </c>
      <c r="AQ246" s="3">
        <f>AB246*Feuil2!$M$3</f>
        <v>0</v>
      </c>
      <c r="AR246" s="3">
        <f>AC246*Feuil2!$N$3</f>
        <v>194.07525173034986</v>
      </c>
    </row>
    <row r="247" spans="1:44" x14ac:dyDescent="0.35">
      <c r="A247" t="s">
        <v>491</v>
      </c>
      <c r="B247" t="s">
        <v>492</v>
      </c>
      <c r="C247">
        <v>26</v>
      </c>
      <c r="D247">
        <v>48</v>
      </c>
      <c r="E247">
        <v>0</v>
      </c>
      <c r="F247">
        <v>18</v>
      </c>
      <c r="G247">
        <v>18</v>
      </c>
      <c r="H247">
        <v>0</v>
      </c>
      <c r="I247">
        <v>13</v>
      </c>
      <c r="J247">
        <v>0</v>
      </c>
      <c r="K247">
        <v>21</v>
      </c>
      <c r="L247">
        <v>0</v>
      </c>
      <c r="M247">
        <v>31</v>
      </c>
      <c r="N247">
        <v>0</v>
      </c>
      <c r="O247">
        <v>175</v>
      </c>
      <c r="Q247" s="1">
        <f>C247/$C$434</f>
        <v>6.4183267915771808E-4</v>
      </c>
      <c r="R247" s="1">
        <f t="shared" si="47"/>
        <v>2.0234381586712756E-3</v>
      </c>
      <c r="S247" s="1">
        <f t="shared" si="51"/>
        <v>0</v>
      </c>
      <c r="T247" s="1">
        <f t="shared" si="52"/>
        <v>7.2280448138778463E-4</v>
      </c>
      <c r="U247" s="1">
        <f t="shared" si="53"/>
        <v>8.5804175803222426E-4</v>
      </c>
      <c r="V247" s="1">
        <f t="shared" si="54"/>
        <v>0</v>
      </c>
      <c r="W247" s="1">
        <f t="shared" si="55"/>
        <v>2.9110125845313269E-4</v>
      </c>
      <c r="X247" s="1">
        <f t="shared" si="56"/>
        <v>0</v>
      </c>
      <c r="Y247" s="1">
        <f t="shared" si="57"/>
        <v>5.3745553195301099E-4</v>
      </c>
      <c r="Z247" s="1">
        <f t="shared" si="48"/>
        <v>0</v>
      </c>
      <c r="AA247" s="1">
        <f t="shared" si="44"/>
        <v>7.7610595098014676E-4</v>
      </c>
      <c r="AB247" s="1">
        <f t="shared" si="45"/>
        <v>0</v>
      </c>
      <c r="AC247" s="1">
        <f t="shared" si="46"/>
        <v>4.6089988727705616E-4</v>
      </c>
      <c r="AD247" s="1" t="str">
        <f t="shared" si="49"/>
        <v>AUTOMOBILES BEAUMONTAISES</v>
      </c>
      <c r="AE247" s="1" t="str">
        <f t="shared" si="50"/>
        <v>38252</v>
      </c>
      <c r="AF247" s="3">
        <f>Q247*Feuil2!$B$3</f>
        <v>22.704779678589944</v>
      </c>
      <c r="AG247" s="3">
        <f>R247*Feuil2!$C$3</f>
        <v>71.578962987943683</v>
      </c>
      <c r="AH247" s="3">
        <f>S247*Feuil2!$D$3</f>
        <v>0</v>
      </c>
      <c r="AI247" s="3">
        <f>T247*Feuil2!$E$2</f>
        <v>27.092880375858332</v>
      </c>
      <c r="AJ247" s="3">
        <f>U247*Feuil2!$F$3</f>
        <v>21.921594050910478</v>
      </c>
      <c r="AK247" s="3">
        <f>V247*Feuil2!$G$3</f>
        <v>0</v>
      </c>
      <c r="AL247" s="3">
        <f>W247*Feuil2!$H$3</f>
        <v>10.583708182184603</v>
      </c>
      <c r="AM247" s="3">
        <f>X247*Feuil2!$I$2</f>
        <v>0</v>
      </c>
      <c r="AN247" s="3">
        <f>Y247*Feuil2!$J$3</f>
        <v>22.709022598725461</v>
      </c>
      <c r="AO247" s="3">
        <f>Z247*Feuil2!$K$3</f>
        <v>0</v>
      </c>
      <c r="AP247" s="3">
        <f>AA247*Feuil2!$L$3</f>
        <v>28.217256590641668</v>
      </c>
      <c r="AQ247" s="3">
        <f>AB247*Feuil2!$M$3</f>
        <v>0</v>
      </c>
      <c r="AR247" s="3">
        <f>AC247*Feuil2!$N$3</f>
        <v>192.97255143642744</v>
      </c>
    </row>
    <row r="248" spans="1:44" x14ac:dyDescent="0.35">
      <c r="A248" t="s">
        <v>493</v>
      </c>
      <c r="B248" t="s">
        <v>494</v>
      </c>
      <c r="C248">
        <v>0</v>
      </c>
      <c r="D248">
        <v>175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175</v>
      </c>
      <c r="Q248" s="1">
        <f>C248/$C$434</f>
        <v>0</v>
      </c>
      <c r="R248" s="1">
        <f t="shared" si="47"/>
        <v>7.3771182868223586E-3</v>
      </c>
      <c r="S248" s="1">
        <f t="shared" si="51"/>
        <v>0</v>
      </c>
      <c r="T248" s="1">
        <f t="shared" si="52"/>
        <v>0</v>
      </c>
      <c r="U248" s="1">
        <f t="shared" si="53"/>
        <v>0</v>
      </c>
      <c r="V248" s="1">
        <f t="shared" si="54"/>
        <v>0</v>
      </c>
      <c r="W248" s="1">
        <f t="shared" si="55"/>
        <v>0</v>
      </c>
      <c r="X248" s="1">
        <f t="shared" si="56"/>
        <v>0</v>
      </c>
      <c r="Y248" s="1">
        <f t="shared" si="57"/>
        <v>0</v>
      </c>
      <c r="Z248" s="1">
        <f t="shared" si="48"/>
        <v>0</v>
      </c>
      <c r="AA248" s="1">
        <f t="shared" si="44"/>
        <v>0</v>
      </c>
      <c r="AB248" s="1">
        <f t="shared" si="45"/>
        <v>0</v>
      </c>
      <c r="AC248" s="1">
        <f t="shared" si="46"/>
        <v>4.6089988727705616E-4</v>
      </c>
      <c r="AD248" s="1" t="str">
        <f t="shared" si="49"/>
        <v>DE CANON</v>
      </c>
      <c r="AE248" s="1" t="str">
        <f t="shared" si="50"/>
        <v>3696</v>
      </c>
      <c r="AF248" s="3">
        <f>Q248*Feuil2!$B$3</f>
        <v>0</v>
      </c>
      <c r="AG248" s="3">
        <f>R248*Feuil2!$C$3</f>
        <v>260.964969226878</v>
      </c>
      <c r="AH248" s="3">
        <f>S248*Feuil2!$D$3</f>
        <v>0</v>
      </c>
      <c r="AI248" s="3">
        <f>T248*Feuil2!$E$2</f>
        <v>0</v>
      </c>
      <c r="AJ248" s="3">
        <f>U248*Feuil2!$F$3</f>
        <v>0</v>
      </c>
      <c r="AK248" s="3">
        <f>V248*Feuil2!$G$3</f>
        <v>0</v>
      </c>
      <c r="AL248" s="3">
        <f>W248*Feuil2!$H$3</f>
        <v>0</v>
      </c>
      <c r="AM248" s="3">
        <f>X248*Feuil2!$I$2</f>
        <v>0</v>
      </c>
      <c r="AN248" s="3">
        <f>Y248*Feuil2!$J$3</f>
        <v>0</v>
      </c>
      <c r="AO248" s="3">
        <f>Z248*Feuil2!$K$3</f>
        <v>0</v>
      </c>
      <c r="AP248" s="3">
        <f>AA248*Feuil2!$L$3</f>
        <v>0</v>
      </c>
      <c r="AQ248" s="3">
        <f>AB248*Feuil2!$M$3</f>
        <v>0</v>
      </c>
      <c r="AR248" s="3">
        <f>AC248*Feuil2!$N$3</f>
        <v>192.97255143642744</v>
      </c>
    </row>
    <row r="249" spans="1:44" x14ac:dyDescent="0.35">
      <c r="A249" t="s">
        <v>495</v>
      </c>
      <c r="B249" t="s">
        <v>496</v>
      </c>
      <c r="C249">
        <v>0</v>
      </c>
      <c r="D249">
        <v>0</v>
      </c>
      <c r="E249">
        <v>19</v>
      </c>
      <c r="F249">
        <v>0</v>
      </c>
      <c r="G249">
        <v>18</v>
      </c>
      <c r="H249">
        <v>0</v>
      </c>
      <c r="I249">
        <v>138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175</v>
      </c>
      <c r="Q249" s="1">
        <f>C249/$C$434</f>
        <v>0</v>
      </c>
      <c r="R249" s="1">
        <f t="shared" si="47"/>
        <v>0</v>
      </c>
      <c r="S249" s="1">
        <f t="shared" si="51"/>
        <v>6.4496418751485113E-4</v>
      </c>
      <c r="T249" s="1">
        <f t="shared" si="52"/>
        <v>0</v>
      </c>
      <c r="U249" s="1">
        <f t="shared" si="53"/>
        <v>8.5804175803222426E-4</v>
      </c>
      <c r="V249" s="1">
        <f t="shared" si="54"/>
        <v>0</v>
      </c>
      <c r="W249" s="1">
        <f t="shared" si="55"/>
        <v>3.0901518205024856E-3</v>
      </c>
      <c r="X249" s="1">
        <f t="shared" si="56"/>
        <v>0</v>
      </c>
      <c r="Y249" s="1">
        <f t="shared" si="57"/>
        <v>0</v>
      </c>
      <c r="Z249" s="1">
        <f t="shared" si="48"/>
        <v>0</v>
      </c>
      <c r="AA249" s="1">
        <f t="shared" si="44"/>
        <v>0</v>
      </c>
      <c r="AB249" s="1">
        <f t="shared" si="45"/>
        <v>0</v>
      </c>
      <c r="AC249" s="1">
        <f t="shared" si="46"/>
        <v>4.6089988727705616E-4</v>
      </c>
      <c r="AD249" s="1" t="str">
        <f t="shared" si="49"/>
        <v>THOMAS M. SARL</v>
      </c>
      <c r="AE249" s="1" t="str">
        <f t="shared" si="50"/>
        <v>3370</v>
      </c>
      <c r="AF249" s="3">
        <f>Q249*Feuil2!$B$3</f>
        <v>0</v>
      </c>
      <c r="AG249" s="3">
        <f>R249*Feuil2!$C$3</f>
        <v>0</v>
      </c>
      <c r="AH249" s="3">
        <f>S249*Feuil2!$D$3</f>
        <v>25.345673648121117</v>
      </c>
      <c r="AI249" s="3">
        <f>T249*Feuil2!$E$2</f>
        <v>0</v>
      </c>
      <c r="AJ249" s="3">
        <f>U249*Feuil2!$F$3</f>
        <v>21.921594050910478</v>
      </c>
      <c r="AK249" s="3">
        <f>V249*Feuil2!$G$3</f>
        <v>0</v>
      </c>
      <c r="AL249" s="3">
        <f>W249*Feuil2!$H$3</f>
        <v>112.35013301088271</v>
      </c>
      <c r="AM249" s="3">
        <f>X249*Feuil2!$I$2</f>
        <v>0</v>
      </c>
      <c r="AN249" s="3">
        <f>Y249*Feuil2!$J$3</f>
        <v>0</v>
      </c>
      <c r="AO249" s="3">
        <f>Z249*Feuil2!$K$3</f>
        <v>0</v>
      </c>
      <c r="AP249" s="3">
        <f>AA249*Feuil2!$L$3</f>
        <v>0</v>
      </c>
      <c r="AQ249" s="3">
        <f>AB249*Feuil2!$M$3</f>
        <v>0</v>
      </c>
      <c r="AR249" s="3">
        <f>AC249*Feuil2!$N$3</f>
        <v>192.97255143642744</v>
      </c>
    </row>
    <row r="250" spans="1:44" x14ac:dyDescent="0.35">
      <c r="A250" t="s">
        <v>497</v>
      </c>
      <c r="B250" t="s">
        <v>498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174</v>
      </c>
      <c r="N250">
        <v>0</v>
      </c>
      <c r="O250">
        <v>174</v>
      </c>
      <c r="Q250" s="1">
        <f>C250/$C$434</f>
        <v>0</v>
      </c>
      <c r="R250" s="1">
        <f t="shared" si="47"/>
        <v>0</v>
      </c>
      <c r="S250" s="1">
        <f t="shared" si="51"/>
        <v>0</v>
      </c>
      <c r="T250" s="1">
        <f t="shared" si="52"/>
        <v>0</v>
      </c>
      <c r="U250" s="1">
        <f t="shared" si="53"/>
        <v>0</v>
      </c>
      <c r="V250" s="1">
        <f t="shared" si="54"/>
        <v>0</v>
      </c>
      <c r="W250" s="1">
        <f t="shared" si="55"/>
        <v>0</v>
      </c>
      <c r="X250" s="1">
        <f t="shared" si="56"/>
        <v>0</v>
      </c>
      <c r="Y250" s="1">
        <f t="shared" si="57"/>
        <v>0</v>
      </c>
      <c r="Z250" s="1">
        <f t="shared" si="48"/>
        <v>0</v>
      </c>
      <c r="AA250" s="1">
        <f t="shared" si="44"/>
        <v>4.3562075958240489E-3</v>
      </c>
      <c r="AB250" s="1">
        <f t="shared" si="45"/>
        <v>0</v>
      </c>
      <c r="AC250" s="1">
        <f t="shared" si="46"/>
        <v>4.5826617363547295E-4</v>
      </c>
      <c r="AD250" s="1" t="str">
        <f t="shared" si="49"/>
        <v>B.R. AUTOMOBILE</v>
      </c>
      <c r="AE250" s="1" t="str">
        <f t="shared" si="50"/>
        <v>3476</v>
      </c>
      <c r="AF250" s="3">
        <f>Q250*Feuil2!$B$3</f>
        <v>0</v>
      </c>
      <c r="AG250" s="3">
        <f>R250*Feuil2!$C$3</f>
        <v>0</v>
      </c>
      <c r="AH250" s="3">
        <f>S250*Feuil2!$D$3</f>
        <v>0</v>
      </c>
      <c r="AI250" s="3">
        <f>T250*Feuil2!$E$2</f>
        <v>0</v>
      </c>
      <c r="AJ250" s="3">
        <f>U250*Feuil2!$F$3</f>
        <v>0</v>
      </c>
      <c r="AK250" s="3">
        <f>V250*Feuil2!$G$3</f>
        <v>0</v>
      </c>
      <c r="AL250" s="3">
        <f>W250*Feuil2!$H$3</f>
        <v>0</v>
      </c>
      <c r="AM250" s="3">
        <f>X250*Feuil2!$I$2</f>
        <v>0</v>
      </c>
      <c r="AN250" s="3">
        <f>Y250*Feuil2!$J$3</f>
        <v>0</v>
      </c>
      <c r="AO250" s="3">
        <f>Z250*Feuil2!$K$3</f>
        <v>0</v>
      </c>
      <c r="AP250" s="3">
        <f>AA250*Feuil2!$L$3</f>
        <v>158.38073054102097</v>
      </c>
      <c r="AQ250" s="3">
        <f>AB250*Feuil2!$M$3</f>
        <v>0</v>
      </c>
      <c r="AR250" s="3">
        <f>AC250*Feuil2!$N$3</f>
        <v>191.86985114250498</v>
      </c>
    </row>
    <row r="251" spans="1:44" x14ac:dyDescent="0.35">
      <c r="A251" t="s">
        <v>499</v>
      </c>
      <c r="B251" t="s">
        <v>500</v>
      </c>
      <c r="C251">
        <v>0</v>
      </c>
      <c r="D251">
        <v>0</v>
      </c>
      <c r="E251">
        <v>0</v>
      </c>
      <c r="F251">
        <v>0</v>
      </c>
      <c r="G251">
        <v>173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173</v>
      </c>
      <c r="Q251" s="1">
        <f>C251/$C$434</f>
        <v>0</v>
      </c>
      <c r="R251" s="1">
        <f t="shared" si="47"/>
        <v>0</v>
      </c>
      <c r="S251" s="1">
        <f t="shared" si="51"/>
        <v>0</v>
      </c>
      <c r="T251" s="1">
        <f t="shared" si="52"/>
        <v>0</v>
      </c>
      <c r="U251" s="1">
        <f t="shared" si="53"/>
        <v>8.2467346744208216E-3</v>
      </c>
      <c r="V251" s="1">
        <f t="shared" si="54"/>
        <v>0</v>
      </c>
      <c r="W251" s="1">
        <f t="shared" si="55"/>
        <v>0</v>
      </c>
      <c r="X251" s="1">
        <f t="shared" si="56"/>
        <v>0</v>
      </c>
      <c r="Y251" s="1">
        <f t="shared" si="57"/>
        <v>0</v>
      </c>
      <c r="Z251" s="1">
        <f t="shared" si="48"/>
        <v>0</v>
      </c>
      <c r="AA251" s="1">
        <f t="shared" si="44"/>
        <v>0</v>
      </c>
      <c r="AB251" s="1">
        <f t="shared" si="45"/>
        <v>0</v>
      </c>
      <c r="AC251" s="1">
        <f t="shared" si="46"/>
        <v>4.556324599938898E-4</v>
      </c>
      <c r="AD251" s="1" t="str">
        <f t="shared" si="49"/>
        <v>DAC DEAUVILLE</v>
      </c>
      <c r="AE251" s="1" t="str">
        <f t="shared" si="50"/>
        <v>1047</v>
      </c>
      <c r="AF251" s="3">
        <f>Q251*Feuil2!$B$3</f>
        <v>0</v>
      </c>
      <c r="AG251" s="3">
        <f>R251*Feuil2!$C$3</f>
        <v>0</v>
      </c>
      <c r="AH251" s="3">
        <f>S251*Feuil2!$D$3</f>
        <v>0</v>
      </c>
      <c r="AI251" s="3">
        <f>T251*Feuil2!$E$2</f>
        <v>0</v>
      </c>
      <c r="AJ251" s="3">
        <f>U251*Feuil2!$F$3</f>
        <v>210.69087615597294</v>
      </c>
      <c r="AK251" s="3">
        <f>V251*Feuil2!$G$3</f>
        <v>0</v>
      </c>
      <c r="AL251" s="3">
        <f>W251*Feuil2!$H$3</f>
        <v>0</v>
      </c>
      <c r="AM251" s="3">
        <f>X251*Feuil2!$I$2</f>
        <v>0</v>
      </c>
      <c r="AN251" s="3">
        <f>Y251*Feuil2!$J$3</f>
        <v>0</v>
      </c>
      <c r="AO251" s="3">
        <f>Z251*Feuil2!$K$3</f>
        <v>0</v>
      </c>
      <c r="AP251" s="3">
        <f>AA251*Feuil2!$L$3</f>
        <v>0</v>
      </c>
      <c r="AQ251" s="3">
        <f>AB251*Feuil2!$M$3</f>
        <v>0</v>
      </c>
      <c r="AR251" s="3">
        <f>AC251*Feuil2!$N$3</f>
        <v>190.76715084858256</v>
      </c>
    </row>
    <row r="252" spans="1:44" x14ac:dyDescent="0.35">
      <c r="A252" t="s">
        <v>501</v>
      </c>
      <c r="B252" t="s">
        <v>502</v>
      </c>
      <c r="C252">
        <v>0</v>
      </c>
      <c r="D252">
        <v>0</v>
      </c>
      <c r="E252">
        <v>0</v>
      </c>
      <c r="F252">
        <v>0</v>
      </c>
      <c r="G252">
        <v>173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173</v>
      </c>
      <c r="Q252" s="1">
        <f>C252/$C$434</f>
        <v>0</v>
      </c>
      <c r="R252" s="1">
        <f t="shared" si="47"/>
        <v>0</v>
      </c>
      <c r="S252" s="1">
        <f t="shared" si="51"/>
        <v>0</v>
      </c>
      <c r="T252" s="1">
        <f t="shared" si="52"/>
        <v>0</v>
      </c>
      <c r="U252" s="1">
        <f t="shared" si="53"/>
        <v>8.2467346744208216E-3</v>
      </c>
      <c r="V252" s="1">
        <f t="shared" si="54"/>
        <v>0</v>
      </c>
      <c r="W252" s="1">
        <f t="shared" si="55"/>
        <v>0</v>
      </c>
      <c r="X252" s="1">
        <f t="shared" si="56"/>
        <v>0</v>
      </c>
      <c r="Y252" s="1">
        <f t="shared" si="57"/>
        <v>0</v>
      </c>
      <c r="Z252" s="1">
        <f t="shared" si="48"/>
        <v>0</v>
      </c>
      <c r="AA252" s="1">
        <f t="shared" si="44"/>
        <v>0</v>
      </c>
      <c r="AB252" s="1">
        <f t="shared" si="45"/>
        <v>0</v>
      </c>
      <c r="AC252" s="1">
        <f t="shared" si="46"/>
        <v>4.556324599938898E-4</v>
      </c>
      <c r="AD252" s="1" t="str">
        <f t="shared" si="49"/>
        <v>ROUGIER ET FILS</v>
      </c>
      <c r="AE252" s="1" t="str">
        <f t="shared" si="50"/>
        <v>3849</v>
      </c>
      <c r="AF252" s="3">
        <f>Q252*Feuil2!$B$3</f>
        <v>0</v>
      </c>
      <c r="AG252" s="3">
        <f>R252*Feuil2!$C$3</f>
        <v>0</v>
      </c>
      <c r="AH252" s="3">
        <f>S252*Feuil2!$D$3</f>
        <v>0</v>
      </c>
      <c r="AI252" s="3">
        <f>T252*Feuil2!$E$2</f>
        <v>0</v>
      </c>
      <c r="AJ252" s="3">
        <f>U252*Feuil2!$F$3</f>
        <v>210.69087615597294</v>
      </c>
      <c r="AK252" s="3">
        <f>V252*Feuil2!$G$3</f>
        <v>0</v>
      </c>
      <c r="AL252" s="3">
        <f>W252*Feuil2!$H$3</f>
        <v>0</v>
      </c>
      <c r="AM252" s="3">
        <f>X252*Feuil2!$I$2</f>
        <v>0</v>
      </c>
      <c r="AN252" s="3">
        <f>Y252*Feuil2!$J$3</f>
        <v>0</v>
      </c>
      <c r="AO252" s="3">
        <f>Z252*Feuil2!$K$3</f>
        <v>0</v>
      </c>
      <c r="AP252" s="3">
        <f>AA252*Feuil2!$L$3</f>
        <v>0</v>
      </c>
      <c r="AQ252" s="3">
        <f>AB252*Feuil2!$M$3</f>
        <v>0</v>
      </c>
      <c r="AR252" s="3">
        <f>AC252*Feuil2!$N$3</f>
        <v>190.76715084858256</v>
      </c>
    </row>
    <row r="253" spans="1:44" x14ac:dyDescent="0.35">
      <c r="A253" t="s">
        <v>503</v>
      </c>
      <c r="B253" t="s">
        <v>504</v>
      </c>
      <c r="C253">
        <v>59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112</v>
      </c>
      <c r="N253">
        <v>0</v>
      </c>
      <c r="O253">
        <v>171</v>
      </c>
      <c r="Q253" s="1">
        <f>C253/$C$434</f>
        <v>1.456466464242514E-3</v>
      </c>
      <c r="R253" s="1">
        <f t="shared" si="47"/>
        <v>0</v>
      </c>
      <c r="S253" s="1">
        <f t="shared" si="51"/>
        <v>0</v>
      </c>
      <c r="T253" s="1">
        <f t="shared" si="52"/>
        <v>0</v>
      </c>
      <c r="U253" s="1">
        <f t="shared" si="53"/>
        <v>0</v>
      </c>
      <c r="V253" s="1">
        <f t="shared" si="54"/>
        <v>0</v>
      </c>
      <c r="W253" s="1">
        <f t="shared" si="55"/>
        <v>0</v>
      </c>
      <c r="X253" s="1">
        <f t="shared" si="56"/>
        <v>0</v>
      </c>
      <c r="Y253" s="1">
        <f t="shared" si="57"/>
        <v>0</v>
      </c>
      <c r="Z253" s="1">
        <f t="shared" si="48"/>
        <v>0</v>
      </c>
      <c r="AA253" s="1">
        <f t="shared" si="44"/>
        <v>2.803995693863756E-3</v>
      </c>
      <c r="AB253" s="1">
        <f t="shared" si="45"/>
        <v>0</v>
      </c>
      <c r="AC253" s="1">
        <f t="shared" si="46"/>
        <v>4.5036503271072344E-4</v>
      </c>
      <c r="AD253" s="1" t="str">
        <f t="shared" si="49"/>
        <v>MJG AUTO - GARAGE DES ALLIES</v>
      </c>
      <c r="AE253" s="1" t="str">
        <f t="shared" si="50"/>
        <v>3790</v>
      </c>
      <c r="AF253" s="3">
        <f>Q253*Feuil2!$B$3</f>
        <v>51.522384655261789</v>
      </c>
      <c r="AG253" s="3">
        <f>R253*Feuil2!$C$3</f>
        <v>0</v>
      </c>
      <c r="AH253" s="3">
        <f>S253*Feuil2!$D$3</f>
        <v>0</v>
      </c>
      <c r="AI253" s="3">
        <f>T253*Feuil2!$E$2</f>
        <v>0</v>
      </c>
      <c r="AJ253" s="3">
        <f>U253*Feuil2!$F$3</f>
        <v>0</v>
      </c>
      <c r="AK253" s="3">
        <f>V253*Feuil2!$G$3</f>
        <v>0</v>
      </c>
      <c r="AL253" s="3">
        <f>W253*Feuil2!$H$3</f>
        <v>0</v>
      </c>
      <c r="AM253" s="3">
        <f>X253*Feuil2!$I$2</f>
        <v>0</v>
      </c>
      <c r="AN253" s="3">
        <f>Y253*Feuil2!$J$3</f>
        <v>0</v>
      </c>
      <c r="AO253" s="3">
        <f>Z253*Feuil2!$K$3</f>
        <v>0</v>
      </c>
      <c r="AP253" s="3">
        <f>AA253*Feuil2!$L$3</f>
        <v>101.94621735973764</v>
      </c>
      <c r="AQ253" s="3">
        <f>AB253*Feuil2!$M$3</f>
        <v>0</v>
      </c>
      <c r="AR253" s="3">
        <f>AC253*Feuil2!$N$3</f>
        <v>188.56175026073768</v>
      </c>
    </row>
    <row r="254" spans="1:44" x14ac:dyDescent="0.35">
      <c r="A254" t="s">
        <v>505</v>
      </c>
      <c r="B254" t="s">
        <v>506</v>
      </c>
      <c r="C254">
        <v>17</v>
      </c>
      <c r="D254">
        <v>35</v>
      </c>
      <c r="E254">
        <v>0</v>
      </c>
      <c r="F254">
        <v>0</v>
      </c>
      <c r="G254">
        <v>0</v>
      </c>
      <c r="H254">
        <v>7</v>
      </c>
      <c r="I254">
        <v>80</v>
      </c>
      <c r="J254">
        <v>0</v>
      </c>
      <c r="K254">
        <v>17</v>
      </c>
      <c r="L254">
        <v>13</v>
      </c>
      <c r="M254">
        <v>0</v>
      </c>
      <c r="N254">
        <v>0</v>
      </c>
      <c r="O254">
        <v>169</v>
      </c>
      <c r="Q254" s="1">
        <f>C254/$C$434</f>
        <v>4.1965982868004642E-4</v>
      </c>
      <c r="R254" s="1">
        <f t="shared" si="47"/>
        <v>1.4754236573644719E-3</v>
      </c>
      <c r="S254" s="1">
        <f t="shared" si="51"/>
        <v>0</v>
      </c>
      <c r="T254" s="1">
        <f t="shared" si="52"/>
        <v>0</v>
      </c>
      <c r="U254" s="1">
        <f t="shared" si="53"/>
        <v>0</v>
      </c>
      <c r="V254" s="1">
        <f t="shared" si="54"/>
        <v>2.3432531048103638E-4</v>
      </c>
      <c r="W254" s="1">
        <f t="shared" si="55"/>
        <v>1.7913923597115858E-3</v>
      </c>
      <c r="X254" s="1">
        <f t="shared" si="56"/>
        <v>0</v>
      </c>
      <c r="Y254" s="1">
        <f t="shared" si="57"/>
        <v>4.3508304967624701E-4</v>
      </c>
      <c r="Z254" s="1">
        <f t="shared" si="48"/>
        <v>3.2988225740966301E-4</v>
      </c>
      <c r="AA254" s="1">
        <f t="shared" si="44"/>
        <v>0</v>
      </c>
      <c r="AB254" s="1">
        <f t="shared" si="45"/>
        <v>0</v>
      </c>
      <c r="AC254" s="1">
        <f t="shared" si="46"/>
        <v>4.4509760542755708E-4</v>
      </c>
      <c r="AD254" s="1" t="str">
        <f t="shared" si="49"/>
        <v>MAXIME</v>
      </c>
      <c r="AE254" s="1" t="str">
        <f t="shared" si="50"/>
        <v>3328</v>
      </c>
      <c r="AF254" s="3">
        <f>Q254*Feuil2!$B$3</f>
        <v>14.845432866770347</v>
      </c>
      <c r="AG254" s="3">
        <f>R254*Feuil2!$C$3</f>
        <v>52.192993845375604</v>
      </c>
      <c r="AH254" s="3">
        <f>S254*Feuil2!$D$3</f>
        <v>0</v>
      </c>
      <c r="AI254" s="3">
        <f>T254*Feuil2!$E$2</f>
        <v>0</v>
      </c>
      <c r="AJ254" s="3">
        <f>U254*Feuil2!$F$3</f>
        <v>0</v>
      </c>
      <c r="AK254" s="3">
        <f>V254*Feuil2!$G$3</f>
        <v>9.4404324975730596</v>
      </c>
      <c r="AL254" s="3">
        <f>W254*Feuil2!$H$3</f>
        <v>65.13051189036679</v>
      </c>
      <c r="AM254" s="3">
        <f>X254*Feuil2!$I$2</f>
        <v>0</v>
      </c>
      <c r="AN254" s="3">
        <f>Y254*Feuil2!$J$3</f>
        <v>18.383494484682519</v>
      </c>
      <c r="AO254" s="3">
        <f>Z254*Feuil2!$K$3</f>
        <v>13.29020401948843</v>
      </c>
      <c r="AP254" s="3">
        <f>AA254*Feuil2!$L$3</f>
        <v>0</v>
      </c>
      <c r="AQ254" s="3">
        <f>AB254*Feuil2!$M$3</f>
        <v>0</v>
      </c>
      <c r="AR254" s="3">
        <f>AC254*Feuil2!$N$3</f>
        <v>186.35634967289278</v>
      </c>
    </row>
    <row r="255" spans="1:44" x14ac:dyDescent="0.35">
      <c r="A255" t="s">
        <v>507</v>
      </c>
      <c r="B255" t="s">
        <v>508</v>
      </c>
      <c r="C255">
        <v>0</v>
      </c>
      <c r="D255">
        <v>63</v>
      </c>
      <c r="E255">
        <v>0</v>
      </c>
      <c r="F255">
        <v>0</v>
      </c>
      <c r="G255">
        <v>0</v>
      </c>
      <c r="H255">
        <v>20</v>
      </c>
      <c r="I255">
        <v>47</v>
      </c>
      <c r="J255">
        <v>0</v>
      </c>
      <c r="K255">
        <v>36</v>
      </c>
      <c r="L255">
        <v>0</v>
      </c>
      <c r="M255">
        <v>0</v>
      </c>
      <c r="N255">
        <v>0</v>
      </c>
      <c r="O255">
        <v>166</v>
      </c>
      <c r="Q255" s="1">
        <f>C255/$C$434</f>
        <v>0</v>
      </c>
      <c r="R255" s="1">
        <f t="shared" si="47"/>
        <v>2.6557625832560492E-3</v>
      </c>
      <c r="S255" s="1">
        <f t="shared" si="51"/>
        <v>0</v>
      </c>
      <c r="T255" s="1">
        <f t="shared" si="52"/>
        <v>0</v>
      </c>
      <c r="U255" s="1">
        <f t="shared" si="53"/>
        <v>0</v>
      </c>
      <c r="V255" s="1">
        <f t="shared" si="54"/>
        <v>6.6950088708867537E-4</v>
      </c>
      <c r="W255" s="1">
        <f t="shared" si="55"/>
        <v>1.0524430113305566E-3</v>
      </c>
      <c r="X255" s="1">
        <f t="shared" si="56"/>
        <v>0</v>
      </c>
      <c r="Y255" s="1">
        <f t="shared" si="57"/>
        <v>9.2135234049087601E-4</v>
      </c>
      <c r="Z255" s="1">
        <f t="shared" si="48"/>
        <v>0</v>
      </c>
      <c r="AA255" s="1">
        <f t="shared" si="44"/>
        <v>0</v>
      </c>
      <c r="AB255" s="1">
        <f t="shared" si="45"/>
        <v>0</v>
      </c>
      <c r="AC255" s="1">
        <f t="shared" si="46"/>
        <v>4.3719646450280752E-4</v>
      </c>
      <c r="AD255" s="1" t="str">
        <f t="shared" si="49"/>
        <v>DU CHALET</v>
      </c>
      <c r="AE255" s="1" t="str">
        <f t="shared" si="50"/>
        <v>5121</v>
      </c>
      <c r="AF255" s="3">
        <f>Q255*Feuil2!$B$3</f>
        <v>0</v>
      </c>
      <c r="AG255" s="3">
        <f>R255*Feuil2!$C$3</f>
        <v>93.94738892167608</v>
      </c>
      <c r="AH255" s="3">
        <f>S255*Feuil2!$D$3</f>
        <v>0</v>
      </c>
      <c r="AI255" s="3">
        <f>T255*Feuil2!$E$2</f>
        <v>0</v>
      </c>
      <c r="AJ255" s="3">
        <f>U255*Feuil2!$F$3</f>
        <v>0</v>
      </c>
      <c r="AK255" s="3">
        <f>V255*Feuil2!$G$3</f>
        <v>26.972664278780169</v>
      </c>
      <c r="AL255" s="3">
        <f>W255*Feuil2!$H$3</f>
        <v>38.264175735590491</v>
      </c>
      <c r="AM255" s="3">
        <f>X255*Feuil2!$I$2</f>
        <v>0</v>
      </c>
      <c r="AN255" s="3">
        <f>Y255*Feuil2!$J$3</f>
        <v>38.929753026386507</v>
      </c>
      <c r="AO255" s="3">
        <f>Z255*Feuil2!$K$3</f>
        <v>0</v>
      </c>
      <c r="AP255" s="3">
        <f>AA255*Feuil2!$L$3</f>
        <v>0</v>
      </c>
      <c r="AQ255" s="3">
        <f>AB255*Feuil2!$M$3</f>
        <v>0</v>
      </c>
      <c r="AR255" s="3">
        <f>AC255*Feuil2!$N$3</f>
        <v>183.04824879112545</v>
      </c>
    </row>
    <row r="256" spans="1:44" x14ac:dyDescent="0.35">
      <c r="A256" t="s">
        <v>509</v>
      </c>
      <c r="B256" t="s">
        <v>510</v>
      </c>
      <c r="C256">
        <v>0</v>
      </c>
      <c r="D256">
        <v>0</v>
      </c>
      <c r="E256">
        <v>0</v>
      </c>
      <c r="F256">
        <v>0</v>
      </c>
      <c r="G256">
        <v>39</v>
      </c>
      <c r="H256">
        <v>56</v>
      </c>
      <c r="I256">
        <v>0</v>
      </c>
      <c r="J256">
        <v>0</v>
      </c>
      <c r="K256">
        <v>30</v>
      </c>
      <c r="L256">
        <v>38</v>
      </c>
      <c r="M256">
        <v>0</v>
      </c>
      <c r="N256">
        <v>0</v>
      </c>
      <c r="O256">
        <v>163</v>
      </c>
      <c r="Q256" s="1">
        <f>C256/$C$434</f>
        <v>0</v>
      </c>
      <c r="R256" s="1">
        <f t="shared" si="47"/>
        <v>0</v>
      </c>
      <c r="S256" s="1">
        <f t="shared" si="51"/>
        <v>0</v>
      </c>
      <c r="T256" s="1">
        <f t="shared" si="52"/>
        <v>0</v>
      </c>
      <c r="U256" s="1">
        <f t="shared" si="53"/>
        <v>1.8590904757364859E-3</v>
      </c>
      <c r="V256" s="1">
        <f t="shared" si="54"/>
        <v>1.874602483848291E-3</v>
      </c>
      <c r="W256" s="1">
        <f t="shared" si="55"/>
        <v>0</v>
      </c>
      <c r="X256" s="1">
        <f t="shared" si="56"/>
        <v>0</v>
      </c>
      <c r="Y256" s="1">
        <f t="shared" si="57"/>
        <v>7.6779361707573004E-4</v>
      </c>
      <c r="Z256" s="1">
        <f t="shared" si="48"/>
        <v>9.6427121396670725E-4</v>
      </c>
      <c r="AA256" s="1">
        <f t="shared" si="44"/>
        <v>0</v>
      </c>
      <c r="AB256" s="1">
        <f t="shared" si="45"/>
        <v>0</v>
      </c>
      <c r="AC256" s="1">
        <f t="shared" si="46"/>
        <v>4.2929532357805801E-4</v>
      </c>
      <c r="AD256" s="1" t="str">
        <f t="shared" si="49"/>
        <v>CARROSSERIE BURGOT</v>
      </c>
      <c r="AE256" s="1" t="str">
        <f t="shared" si="50"/>
        <v>5227</v>
      </c>
      <c r="AF256" s="3">
        <f>Q256*Feuil2!$B$3</f>
        <v>0</v>
      </c>
      <c r="AG256" s="3">
        <f>R256*Feuil2!$C$3</f>
        <v>0</v>
      </c>
      <c r="AH256" s="3">
        <f>S256*Feuil2!$D$3</f>
        <v>0</v>
      </c>
      <c r="AI256" s="3">
        <f>T256*Feuil2!$E$2</f>
        <v>0</v>
      </c>
      <c r="AJ256" s="3">
        <f>U256*Feuil2!$F$3</f>
        <v>47.496787110306038</v>
      </c>
      <c r="AK256" s="3">
        <f>V256*Feuil2!$G$3</f>
        <v>75.523459980584477</v>
      </c>
      <c r="AL256" s="3">
        <f>W256*Feuil2!$H$3</f>
        <v>0</v>
      </c>
      <c r="AM256" s="3">
        <f>X256*Feuil2!$I$2</f>
        <v>0</v>
      </c>
      <c r="AN256" s="3">
        <f>Y256*Feuil2!$J$3</f>
        <v>32.441460855322092</v>
      </c>
      <c r="AO256" s="3">
        <f>Z256*Feuil2!$K$3</f>
        <v>38.84828867235079</v>
      </c>
      <c r="AP256" s="3">
        <f>AA256*Feuil2!$L$3</f>
        <v>0</v>
      </c>
      <c r="AQ256" s="3">
        <f>AB256*Feuil2!$M$3</f>
        <v>0</v>
      </c>
      <c r="AR256" s="3">
        <f>AC256*Feuil2!$N$3</f>
        <v>179.74014790935814</v>
      </c>
    </row>
    <row r="257" spans="1:44" x14ac:dyDescent="0.35">
      <c r="A257" t="s">
        <v>511</v>
      </c>
      <c r="B257" t="s">
        <v>512</v>
      </c>
      <c r="C257">
        <v>0</v>
      </c>
      <c r="D257">
        <v>107</v>
      </c>
      <c r="E257">
        <v>0</v>
      </c>
      <c r="F257">
        <v>0</v>
      </c>
      <c r="G257">
        <v>0</v>
      </c>
      <c r="H257">
        <v>51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158</v>
      </c>
      <c r="Q257" s="1">
        <f>C257/$C$434</f>
        <v>0</v>
      </c>
      <c r="R257" s="1">
        <f t="shared" si="47"/>
        <v>4.5105808953713848E-3</v>
      </c>
      <c r="S257" s="1">
        <f t="shared" si="51"/>
        <v>0</v>
      </c>
      <c r="T257" s="1">
        <f t="shared" si="52"/>
        <v>0</v>
      </c>
      <c r="U257" s="1">
        <f t="shared" si="53"/>
        <v>0</v>
      </c>
      <c r="V257" s="1">
        <f t="shared" si="54"/>
        <v>1.7072272620761223E-3</v>
      </c>
      <c r="W257" s="1">
        <f t="shared" si="55"/>
        <v>0</v>
      </c>
      <c r="X257" s="1">
        <f t="shared" si="56"/>
        <v>0</v>
      </c>
      <c r="Y257" s="1">
        <f t="shared" si="57"/>
        <v>0</v>
      </c>
      <c r="Z257" s="1">
        <f t="shared" si="48"/>
        <v>0</v>
      </c>
      <c r="AA257" s="1">
        <f t="shared" si="44"/>
        <v>0</v>
      </c>
      <c r="AB257" s="1">
        <f t="shared" si="45"/>
        <v>0</v>
      </c>
      <c r="AC257" s="1">
        <f t="shared" si="46"/>
        <v>4.1612675537014209E-4</v>
      </c>
      <c r="AD257" s="1" t="str">
        <f t="shared" si="49"/>
        <v>RELAIS AUTO LEXOVIEN</v>
      </c>
      <c r="AE257" s="1" t="str">
        <f t="shared" si="50"/>
        <v>5814</v>
      </c>
      <c r="AF257" s="3">
        <f>Q257*Feuil2!$B$3</f>
        <v>0</v>
      </c>
      <c r="AG257" s="3">
        <f>R257*Feuil2!$C$3</f>
        <v>159.56143832729111</v>
      </c>
      <c r="AH257" s="3">
        <f>S257*Feuil2!$D$3</f>
        <v>0</v>
      </c>
      <c r="AI257" s="3">
        <f>T257*Feuil2!$E$2</f>
        <v>0</v>
      </c>
      <c r="AJ257" s="3">
        <f>U257*Feuil2!$F$3</f>
        <v>0</v>
      </c>
      <c r="AK257" s="3">
        <f>V257*Feuil2!$G$3</f>
        <v>68.780293910889441</v>
      </c>
      <c r="AL257" s="3">
        <f>W257*Feuil2!$H$3</f>
        <v>0</v>
      </c>
      <c r="AM257" s="3">
        <f>X257*Feuil2!$I$2</f>
        <v>0</v>
      </c>
      <c r="AN257" s="3">
        <f>Y257*Feuil2!$J$3</f>
        <v>0</v>
      </c>
      <c r="AO257" s="3">
        <f>Z257*Feuil2!$K$3</f>
        <v>0</v>
      </c>
      <c r="AP257" s="3">
        <f>AA257*Feuil2!$L$3</f>
        <v>0</v>
      </c>
      <c r="AQ257" s="3">
        <f>AB257*Feuil2!$M$3</f>
        <v>0</v>
      </c>
      <c r="AR257" s="3">
        <f>AC257*Feuil2!$N$3</f>
        <v>174.22664643974591</v>
      </c>
    </row>
    <row r="258" spans="1:44" x14ac:dyDescent="0.35">
      <c r="A258" t="s">
        <v>513</v>
      </c>
      <c r="B258" t="s">
        <v>514</v>
      </c>
      <c r="C258">
        <v>0</v>
      </c>
      <c r="D258">
        <v>0</v>
      </c>
      <c r="E258">
        <v>0</v>
      </c>
      <c r="F258">
        <v>0</v>
      </c>
      <c r="G258">
        <v>23</v>
      </c>
      <c r="H258">
        <v>29</v>
      </c>
      <c r="I258">
        <v>0</v>
      </c>
      <c r="J258">
        <v>0</v>
      </c>
      <c r="K258">
        <v>52</v>
      </c>
      <c r="L258">
        <v>50</v>
      </c>
      <c r="M258">
        <v>0</v>
      </c>
      <c r="N258">
        <v>0</v>
      </c>
      <c r="O258">
        <v>154</v>
      </c>
      <c r="Q258" s="1">
        <f>C258/$C$434</f>
        <v>0</v>
      </c>
      <c r="R258" s="1">
        <f t="shared" si="47"/>
        <v>0</v>
      </c>
      <c r="S258" s="1">
        <f t="shared" si="51"/>
        <v>0</v>
      </c>
      <c r="T258" s="1">
        <f t="shared" si="52"/>
        <v>0</v>
      </c>
      <c r="U258" s="1">
        <f t="shared" si="53"/>
        <v>1.0963866908189532E-3</v>
      </c>
      <c r="V258" s="1">
        <f t="shared" si="54"/>
        <v>9.7077628627857931E-4</v>
      </c>
      <c r="W258" s="1">
        <f t="shared" si="55"/>
        <v>0</v>
      </c>
      <c r="X258" s="1">
        <f t="shared" si="56"/>
        <v>0</v>
      </c>
      <c r="Y258" s="1">
        <f t="shared" si="57"/>
        <v>1.3308422695979321E-3</v>
      </c>
      <c r="Z258" s="1">
        <f t="shared" si="48"/>
        <v>1.2687779131140885E-3</v>
      </c>
      <c r="AA258" s="1">
        <f t="shared" si="44"/>
        <v>0</v>
      </c>
      <c r="AB258" s="1">
        <f t="shared" si="45"/>
        <v>0</v>
      </c>
      <c r="AC258" s="1">
        <f t="shared" si="46"/>
        <v>4.0559190080380938E-4</v>
      </c>
      <c r="AD258" s="1" t="str">
        <f t="shared" si="49"/>
        <v>DUMOULIN</v>
      </c>
      <c r="AE258" s="1" t="str">
        <f t="shared" si="50"/>
        <v>5106</v>
      </c>
      <c r="AF258" s="3">
        <f>Q258*Feuil2!$B$3</f>
        <v>0</v>
      </c>
      <c r="AG258" s="3">
        <f>R258*Feuil2!$C$3</f>
        <v>0</v>
      </c>
      <c r="AH258" s="3">
        <f>S258*Feuil2!$D$3</f>
        <v>0</v>
      </c>
      <c r="AI258" s="3">
        <f>T258*Feuil2!$E$2</f>
        <v>0</v>
      </c>
      <c r="AJ258" s="3">
        <f>U258*Feuil2!$F$3</f>
        <v>28.010925731718945</v>
      </c>
      <c r="AK258" s="3">
        <f>V258*Feuil2!$G$3</f>
        <v>39.110363204231248</v>
      </c>
      <c r="AL258" s="3">
        <f>W258*Feuil2!$H$3</f>
        <v>0</v>
      </c>
      <c r="AM258" s="3">
        <f>X258*Feuil2!$I$2</f>
        <v>0</v>
      </c>
      <c r="AN258" s="3">
        <f>Y258*Feuil2!$J$3</f>
        <v>56.231865482558298</v>
      </c>
      <c r="AO258" s="3">
        <f>Z258*Feuil2!$K$3</f>
        <v>51.116169305724725</v>
      </c>
      <c r="AP258" s="3">
        <f>AA258*Feuil2!$L$3</f>
        <v>0</v>
      </c>
      <c r="AQ258" s="3">
        <f>AB258*Feuil2!$M$3</f>
        <v>0</v>
      </c>
      <c r="AR258" s="3">
        <f>AC258*Feuil2!$N$3</f>
        <v>169.81584526405612</v>
      </c>
    </row>
    <row r="259" spans="1:44" x14ac:dyDescent="0.35">
      <c r="A259" t="s">
        <v>515</v>
      </c>
      <c r="B259" t="s">
        <v>516</v>
      </c>
      <c r="C259">
        <v>37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32</v>
      </c>
      <c r="L259">
        <v>49</v>
      </c>
      <c r="M259">
        <v>33</v>
      </c>
      <c r="N259">
        <v>0</v>
      </c>
      <c r="O259">
        <v>151</v>
      </c>
      <c r="Q259" s="1">
        <f>C259/$C$434</f>
        <v>9.1337727418598332E-4</v>
      </c>
      <c r="R259" s="1">
        <f t="shared" si="47"/>
        <v>0</v>
      </c>
      <c r="S259" s="1">
        <f t="shared" si="51"/>
        <v>0</v>
      </c>
      <c r="T259" s="1">
        <f t="shared" si="52"/>
        <v>0</v>
      </c>
      <c r="U259" s="1">
        <f t="shared" si="53"/>
        <v>0</v>
      </c>
      <c r="V259" s="1">
        <f t="shared" si="54"/>
        <v>0</v>
      </c>
      <c r="W259" s="1">
        <f t="shared" si="55"/>
        <v>0</v>
      </c>
      <c r="X259" s="1">
        <f t="shared" si="56"/>
        <v>0</v>
      </c>
      <c r="Y259" s="1">
        <f t="shared" si="57"/>
        <v>8.1897985821411203E-4</v>
      </c>
      <c r="Z259" s="1">
        <f t="shared" si="48"/>
        <v>1.2434023548518068E-3</v>
      </c>
      <c r="AA259" s="1">
        <f t="shared" ref="AA259:AA322" si="58">M259/M$434</f>
        <v>8.2617730265628522E-4</v>
      </c>
      <c r="AB259" s="1">
        <f t="shared" ref="AB259:AB322" si="59">N259/N$434</f>
        <v>0</v>
      </c>
      <c r="AC259" s="1">
        <f t="shared" ref="AC259:AC322" si="60">O259/O$434</f>
        <v>3.9769075987905987E-4</v>
      </c>
      <c r="AD259" s="1" t="str">
        <f t="shared" si="49"/>
        <v>MR MARIE DIDIER AUTOMOBILES</v>
      </c>
      <c r="AE259" s="1" t="str">
        <f t="shared" si="50"/>
        <v>1822</v>
      </c>
      <c r="AF259" s="3">
        <f>Q259*Feuil2!$B$3</f>
        <v>32.310648004147225</v>
      </c>
      <c r="AG259" s="3">
        <f>R259*Feuil2!$C$3</f>
        <v>0</v>
      </c>
      <c r="AH259" s="3">
        <f>S259*Feuil2!$D$3</f>
        <v>0</v>
      </c>
      <c r="AI259" s="3">
        <f>T259*Feuil2!$E$2</f>
        <v>0</v>
      </c>
      <c r="AJ259" s="3">
        <f>U259*Feuil2!$F$3</f>
        <v>0</v>
      </c>
      <c r="AK259" s="3">
        <f>V259*Feuil2!$G$3</f>
        <v>0</v>
      </c>
      <c r="AL259" s="3">
        <f>W259*Feuil2!$H$3</f>
        <v>0</v>
      </c>
      <c r="AM259" s="3">
        <f>X259*Feuil2!$I$2</f>
        <v>0</v>
      </c>
      <c r="AN259" s="3">
        <f>Y259*Feuil2!$J$3</f>
        <v>34.604224912343568</v>
      </c>
      <c r="AO259" s="3">
        <f>Z259*Feuil2!$K$3</f>
        <v>50.093845919610239</v>
      </c>
      <c r="AP259" s="3">
        <f>AA259*Feuil2!$L$3</f>
        <v>30.037724757779838</v>
      </c>
      <c r="AQ259" s="3">
        <f>AB259*Feuil2!$M$3</f>
        <v>0</v>
      </c>
      <c r="AR259" s="3">
        <f>AC259*Feuil2!$N$3</f>
        <v>166.50774438228882</v>
      </c>
    </row>
    <row r="260" spans="1:44" x14ac:dyDescent="0.35">
      <c r="A260" t="s">
        <v>517</v>
      </c>
      <c r="B260" t="s">
        <v>518</v>
      </c>
      <c r="C260">
        <v>0</v>
      </c>
      <c r="D260">
        <v>47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102</v>
      </c>
      <c r="K260">
        <v>0</v>
      </c>
      <c r="L260">
        <v>0</v>
      </c>
      <c r="M260">
        <v>0</v>
      </c>
      <c r="N260">
        <v>0</v>
      </c>
      <c r="O260">
        <v>149</v>
      </c>
      <c r="Q260" s="1">
        <f>C260/$C$434</f>
        <v>0</v>
      </c>
      <c r="R260" s="1">
        <f t="shared" ref="R260:R323" si="61">D260/D$434</f>
        <v>1.9812831970322906E-3</v>
      </c>
      <c r="S260" s="1">
        <f t="shared" si="51"/>
        <v>0</v>
      </c>
      <c r="T260" s="1">
        <f t="shared" si="52"/>
        <v>0</v>
      </c>
      <c r="U260" s="1">
        <f t="shared" si="53"/>
        <v>0</v>
      </c>
      <c r="V260" s="1">
        <f t="shared" si="54"/>
        <v>0</v>
      </c>
      <c r="W260" s="1">
        <f t="shared" si="55"/>
        <v>0</v>
      </c>
      <c r="X260" s="1">
        <f t="shared" si="56"/>
        <v>5.4493001389037286E-3</v>
      </c>
      <c r="Y260" s="1">
        <f t="shared" si="57"/>
        <v>0</v>
      </c>
      <c r="Z260" s="1">
        <f t="shared" ref="Z260:Z323" si="62">L260/L$434</f>
        <v>0</v>
      </c>
      <c r="AA260" s="1">
        <f t="shared" si="58"/>
        <v>0</v>
      </c>
      <c r="AB260" s="1">
        <f t="shared" si="59"/>
        <v>0</v>
      </c>
      <c r="AC260" s="1">
        <f t="shared" si="60"/>
        <v>3.9242333259589351E-4</v>
      </c>
      <c r="AD260" s="1" t="str">
        <f t="shared" ref="AD260:AD323" si="63">A260</f>
        <v>BOURDON</v>
      </c>
      <c r="AE260" s="1" t="str">
        <f t="shared" ref="AE260:AE323" si="64">B260</f>
        <v>3138</v>
      </c>
      <c r="AF260" s="3">
        <f>Q260*Feuil2!$B$3</f>
        <v>0</v>
      </c>
      <c r="AG260" s="3">
        <f>R260*Feuil2!$C$3</f>
        <v>70.087734592361514</v>
      </c>
      <c r="AH260" s="3">
        <f>S260*Feuil2!$D$3</f>
        <v>0</v>
      </c>
      <c r="AI260" s="3">
        <f>T260*Feuil2!$E$2</f>
        <v>0</v>
      </c>
      <c r="AJ260" s="3">
        <f>U260*Feuil2!$F$3</f>
        <v>0</v>
      </c>
      <c r="AK260" s="3">
        <f>V260*Feuil2!$G$3</f>
        <v>0</v>
      </c>
      <c r="AL260" s="3">
        <f>W260*Feuil2!$H$3</f>
        <v>0</v>
      </c>
      <c r="AM260" s="3">
        <f>X260*Feuil2!$I$2</f>
        <v>116.40794956726145</v>
      </c>
      <c r="AN260" s="3">
        <f>Y260*Feuil2!$J$3</f>
        <v>0</v>
      </c>
      <c r="AO260" s="3">
        <f>Z260*Feuil2!$K$3</f>
        <v>0</v>
      </c>
      <c r="AP260" s="3">
        <f>AA260*Feuil2!$L$3</f>
        <v>0</v>
      </c>
      <c r="AQ260" s="3">
        <f>AB260*Feuil2!$M$3</f>
        <v>0</v>
      </c>
      <c r="AR260" s="3">
        <f>AC260*Feuil2!$N$3</f>
        <v>164.30234379444394</v>
      </c>
    </row>
    <row r="261" spans="1:44" x14ac:dyDescent="0.35">
      <c r="A261" t="s">
        <v>519</v>
      </c>
      <c r="B261" t="s">
        <v>520</v>
      </c>
      <c r="C261">
        <v>148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148</v>
      </c>
      <c r="Q261" s="1">
        <f>C261/$C$434</f>
        <v>3.6535090967439333E-3</v>
      </c>
      <c r="R261" s="1">
        <f t="shared" si="61"/>
        <v>0</v>
      </c>
      <c r="S261" s="1">
        <f t="shared" si="51"/>
        <v>0</v>
      </c>
      <c r="T261" s="1">
        <f t="shared" si="52"/>
        <v>0</v>
      </c>
      <c r="U261" s="1">
        <f t="shared" si="53"/>
        <v>0</v>
      </c>
      <c r="V261" s="1">
        <f t="shared" si="54"/>
        <v>0</v>
      </c>
      <c r="W261" s="1">
        <f t="shared" si="55"/>
        <v>0</v>
      </c>
      <c r="X261" s="1">
        <f t="shared" si="56"/>
        <v>0</v>
      </c>
      <c r="Y261" s="1">
        <f t="shared" si="57"/>
        <v>0</v>
      </c>
      <c r="Z261" s="1">
        <f t="shared" si="62"/>
        <v>0</v>
      </c>
      <c r="AA261" s="1">
        <f t="shared" si="58"/>
        <v>0</v>
      </c>
      <c r="AB261" s="1">
        <f t="shared" si="59"/>
        <v>0</v>
      </c>
      <c r="AC261" s="1">
        <f t="shared" si="60"/>
        <v>3.8978961895431031E-4</v>
      </c>
      <c r="AD261" s="1" t="str">
        <f t="shared" si="63"/>
        <v>SAINT-PIERRE</v>
      </c>
      <c r="AE261" s="1" t="str">
        <f t="shared" si="64"/>
        <v>6015</v>
      </c>
      <c r="AF261" s="3">
        <f>Q261*Feuil2!$B$3</f>
        <v>129.2425920165889</v>
      </c>
      <c r="AG261" s="3">
        <f>R261*Feuil2!$C$3</f>
        <v>0</v>
      </c>
      <c r="AH261" s="3">
        <f>S261*Feuil2!$D$3</f>
        <v>0</v>
      </c>
      <c r="AI261" s="3">
        <f>T261*Feuil2!$E$2</f>
        <v>0</v>
      </c>
      <c r="AJ261" s="3">
        <f>U261*Feuil2!$F$3</f>
        <v>0</v>
      </c>
      <c r="AK261" s="3">
        <f>V261*Feuil2!$G$3</f>
        <v>0</v>
      </c>
      <c r="AL261" s="3">
        <f>W261*Feuil2!$H$3</f>
        <v>0</v>
      </c>
      <c r="AM261" s="3">
        <f>X261*Feuil2!$I$2</f>
        <v>0</v>
      </c>
      <c r="AN261" s="3">
        <f>Y261*Feuil2!$J$3</f>
        <v>0</v>
      </c>
      <c r="AO261" s="3">
        <f>Z261*Feuil2!$K$3</f>
        <v>0</v>
      </c>
      <c r="AP261" s="3">
        <f>AA261*Feuil2!$L$3</f>
        <v>0</v>
      </c>
      <c r="AQ261" s="3">
        <f>AB261*Feuil2!$M$3</f>
        <v>0</v>
      </c>
      <c r="AR261" s="3">
        <f>AC261*Feuil2!$N$3</f>
        <v>163.19964350052149</v>
      </c>
    </row>
    <row r="262" spans="1:44" x14ac:dyDescent="0.35">
      <c r="A262" t="s">
        <v>521</v>
      </c>
      <c r="B262" t="s">
        <v>522</v>
      </c>
      <c r="C262">
        <v>44</v>
      </c>
      <c r="D262">
        <v>-292</v>
      </c>
      <c r="E262">
        <v>28</v>
      </c>
      <c r="F262">
        <v>204</v>
      </c>
      <c r="G262">
        <v>0</v>
      </c>
      <c r="H262">
        <v>19</v>
      </c>
      <c r="I262">
        <v>96</v>
      </c>
      <c r="J262">
        <v>0</v>
      </c>
      <c r="K262">
        <v>31</v>
      </c>
      <c r="L262">
        <v>0</v>
      </c>
      <c r="M262">
        <v>18</v>
      </c>
      <c r="N262">
        <v>0</v>
      </c>
      <c r="O262">
        <v>148</v>
      </c>
      <c r="Q262" s="1">
        <f>C262/$C$434</f>
        <v>1.0861783801130614E-3</v>
      </c>
      <c r="R262" s="1">
        <f t="shared" si="61"/>
        <v>-1.2309248798583593E-2</v>
      </c>
      <c r="S262" s="1">
        <f t="shared" si="51"/>
        <v>9.5047353949557014E-4</v>
      </c>
      <c r="T262" s="1">
        <f t="shared" si="52"/>
        <v>8.1917841223948917E-3</v>
      </c>
      <c r="U262" s="1">
        <f t="shared" si="53"/>
        <v>0</v>
      </c>
      <c r="V262" s="1">
        <f t="shared" si="54"/>
        <v>6.3602584273424157E-4</v>
      </c>
      <c r="W262" s="1">
        <f t="shared" si="55"/>
        <v>2.1496708316539031E-3</v>
      </c>
      <c r="X262" s="1">
        <f t="shared" si="56"/>
        <v>0</v>
      </c>
      <c r="Y262" s="1">
        <f t="shared" si="57"/>
        <v>7.9338673764492104E-4</v>
      </c>
      <c r="Z262" s="1">
        <f t="shared" si="62"/>
        <v>0</v>
      </c>
      <c r="AA262" s="1">
        <f t="shared" si="58"/>
        <v>4.5064216508524648E-4</v>
      </c>
      <c r="AB262" s="1">
        <f t="shared" si="59"/>
        <v>0</v>
      </c>
      <c r="AC262" s="1">
        <f t="shared" si="60"/>
        <v>3.8978961895431031E-4</v>
      </c>
      <c r="AD262" s="1" t="str">
        <f t="shared" si="63"/>
        <v>SY RETAP AUTO</v>
      </c>
      <c r="AE262" s="1" t="str">
        <f t="shared" si="64"/>
        <v>3776</v>
      </c>
      <c r="AF262" s="3">
        <f>Q262*Feuil2!$B$3</f>
        <v>38.423473302229134</v>
      </c>
      <c r="AG262" s="3">
        <f>R262*Feuil2!$C$3</f>
        <v>-435.43869150999069</v>
      </c>
      <c r="AH262" s="3">
        <f>S262*Feuil2!$D$3</f>
        <v>37.351519060389016</v>
      </c>
      <c r="AI262" s="3">
        <f>T262*Feuil2!$E$2</f>
        <v>307.05264425972774</v>
      </c>
      <c r="AJ262" s="3">
        <f>U262*Feuil2!$F$3</f>
        <v>0</v>
      </c>
      <c r="AK262" s="3">
        <f>V262*Feuil2!$G$3</f>
        <v>25.624031064841159</v>
      </c>
      <c r="AL262" s="3">
        <f>W262*Feuil2!$H$3</f>
        <v>78.156614268440151</v>
      </c>
      <c r="AM262" s="3">
        <f>X262*Feuil2!$I$2</f>
        <v>0</v>
      </c>
      <c r="AN262" s="3">
        <f>Y262*Feuil2!$J$3</f>
        <v>33.52284288383283</v>
      </c>
      <c r="AO262" s="3">
        <f>Z262*Feuil2!$K$3</f>
        <v>0</v>
      </c>
      <c r="AP262" s="3">
        <f>AA262*Feuil2!$L$3</f>
        <v>16.384213504243547</v>
      </c>
      <c r="AQ262" s="3">
        <f>AB262*Feuil2!$M$3</f>
        <v>0</v>
      </c>
      <c r="AR262" s="3">
        <f>AC262*Feuil2!$N$3</f>
        <v>163.19964350052149</v>
      </c>
    </row>
    <row r="263" spans="1:44" x14ac:dyDescent="0.35">
      <c r="A263" t="s">
        <v>523</v>
      </c>
      <c r="B263" t="s">
        <v>524</v>
      </c>
      <c r="C263">
        <v>0</v>
      </c>
      <c r="D263">
        <v>0</v>
      </c>
      <c r="E263">
        <v>0</v>
      </c>
      <c r="F263">
        <v>30</v>
      </c>
      <c r="G263">
        <v>35</v>
      </c>
      <c r="H263">
        <v>22</v>
      </c>
      <c r="I263">
        <v>13</v>
      </c>
      <c r="J263">
        <v>0</v>
      </c>
      <c r="K263">
        <v>50</v>
      </c>
      <c r="L263">
        <v>-5</v>
      </c>
      <c r="M263">
        <v>0</v>
      </c>
      <c r="N263">
        <v>0</v>
      </c>
      <c r="O263">
        <v>145</v>
      </c>
      <c r="Q263" s="1">
        <f>C263/$C$434</f>
        <v>0</v>
      </c>
      <c r="R263" s="1">
        <f t="shared" si="61"/>
        <v>0</v>
      </c>
      <c r="S263" s="1">
        <f t="shared" si="51"/>
        <v>0</v>
      </c>
      <c r="T263" s="1">
        <f t="shared" si="52"/>
        <v>1.2046741356463078E-3</v>
      </c>
      <c r="U263" s="1">
        <f t="shared" si="53"/>
        <v>1.6684145295071027E-3</v>
      </c>
      <c r="V263" s="1">
        <f t="shared" si="54"/>
        <v>7.3645097579754296E-4</v>
      </c>
      <c r="W263" s="1">
        <f t="shared" si="55"/>
        <v>2.9110125845313269E-4</v>
      </c>
      <c r="X263" s="1">
        <f t="shared" si="56"/>
        <v>0</v>
      </c>
      <c r="Y263" s="1">
        <f t="shared" si="57"/>
        <v>1.2796560284595501E-3</v>
      </c>
      <c r="Z263" s="1">
        <f t="shared" si="62"/>
        <v>-1.2687779131140885E-4</v>
      </c>
      <c r="AA263" s="1">
        <f t="shared" si="58"/>
        <v>0</v>
      </c>
      <c r="AB263" s="1">
        <f t="shared" si="59"/>
        <v>0</v>
      </c>
      <c r="AC263" s="1">
        <f t="shared" si="60"/>
        <v>3.818884780295608E-4</v>
      </c>
      <c r="AD263" s="1" t="str">
        <f t="shared" si="63"/>
        <v>H2C AUTOMOBILE</v>
      </c>
      <c r="AE263" s="1" t="str">
        <f t="shared" si="64"/>
        <v>3481</v>
      </c>
      <c r="AF263" s="3">
        <f>Q263*Feuil2!$B$3</f>
        <v>0</v>
      </c>
      <c r="AG263" s="3">
        <f>R263*Feuil2!$C$3</f>
        <v>0</v>
      </c>
      <c r="AH263" s="3">
        <f>S263*Feuil2!$D$3</f>
        <v>0</v>
      </c>
      <c r="AI263" s="3">
        <f>T263*Feuil2!$E$2</f>
        <v>45.15480062643055</v>
      </c>
      <c r="AJ263" s="3">
        <f>U263*Feuil2!$F$3</f>
        <v>42.625321765659265</v>
      </c>
      <c r="AK263" s="3">
        <f>V263*Feuil2!$G$3</f>
        <v>29.669930706658189</v>
      </c>
      <c r="AL263" s="3">
        <f>W263*Feuil2!$H$3</f>
        <v>10.583708182184603</v>
      </c>
      <c r="AM263" s="3">
        <f>X263*Feuil2!$I$2</f>
        <v>0</v>
      </c>
      <c r="AN263" s="3">
        <f>Y263*Feuil2!$J$3</f>
        <v>54.069101425536822</v>
      </c>
      <c r="AO263" s="3">
        <f>Z263*Feuil2!$K$3</f>
        <v>-5.111616930572473</v>
      </c>
      <c r="AP263" s="3">
        <f>AA263*Feuil2!$L$3</f>
        <v>0</v>
      </c>
      <c r="AQ263" s="3">
        <f>AB263*Feuil2!$M$3</f>
        <v>0</v>
      </c>
      <c r="AR263" s="3">
        <f>AC263*Feuil2!$N$3</f>
        <v>159.89154261875416</v>
      </c>
    </row>
    <row r="264" spans="1:44" x14ac:dyDescent="0.35">
      <c r="A264" t="s">
        <v>525</v>
      </c>
      <c r="B264" t="s">
        <v>526</v>
      </c>
      <c r="C264">
        <v>0</v>
      </c>
      <c r="D264">
        <v>0</v>
      </c>
      <c r="E264">
        <v>0</v>
      </c>
      <c r="F264">
        <v>0</v>
      </c>
      <c r="G264">
        <v>44</v>
      </c>
      <c r="H264">
        <v>0</v>
      </c>
      <c r="I264">
        <v>0</v>
      </c>
      <c r="J264">
        <v>0</v>
      </c>
      <c r="K264">
        <v>65</v>
      </c>
      <c r="L264">
        <v>33</v>
      </c>
      <c r="M264">
        <v>0</v>
      </c>
      <c r="N264">
        <v>0</v>
      </c>
      <c r="O264">
        <v>142</v>
      </c>
      <c r="Q264" s="1">
        <f>C264/$C$434</f>
        <v>0</v>
      </c>
      <c r="R264" s="1">
        <f t="shared" si="61"/>
        <v>0</v>
      </c>
      <c r="S264" s="1">
        <f t="shared" si="51"/>
        <v>0</v>
      </c>
      <c r="T264" s="1">
        <f t="shared" si="52"/>
        <v>0</v>
      </c>
      <c r="U264" s="1">
        <f t="shared" si="53"/>
        <v>2.0974354085232147E-3</v>
      </c>
      <c r="V264" s="1">
        <f t="shared" si="54"/>
        <v>0</v>
      </c>
      <c r="W264" s="1">
        <f t="shared" si="55"/>
        <v>0</v>
      </c>
      <c r="X264" s="1">
        <f t="shared" si="56"/>
        <v>0</v>
      </c>
      <c r="Y264" s="1">
        <f t="shared" si="57"/>
        <v>1.6635528369974152E-3</v>
      </c>
      <c r="Z264" s="1">
        <f t="shared" si="62"/>
        <v>8.3739342265529843E-4</v>
      </c>
      <c r="AA264" s="1">
        <f t="shared" si="58"/>
        <v>0</v>
      </c>
      <c r="AB264" s="1">
        <f t="shared" si="59"/>
        <v>0</v>
      </c>
      <c r="AC264" s="1">
        <f t="shared" si="60"/>
        <v>3.7398733710481129E-4</v>
      </c>
      <c r="AD264" s="1" t="str">
        <f t="shared" si="63"/>
        <v>RTA</v>
      </c>
      <c r="AE264" s="1" t="str">
        <f t="shared" si="64"/>
        <v>3131</v>
      </c>
      <c r="AF264" s="3">
        <f>Q264*Feuil2!$B$3</f>
        <v>0</v>
      </c>
      <c r="AG264" s="3">
        <f>R264*Feuil2!$C$3</f>
        <v>0</v>
      </c>
      <c r="AH264" s="3">
        <f>S264*Feuil2!$D$3</f>
        <v>0</v>
      </c>
      <c r="AI264" s="3">
        <f>T264*Feuil2!$E$2</f>
        <v>0</v>
      </c>
      <c r="AJ264" s="3">
        <f>U264*Feuil2!$F$3</f>
        <v>53.586118791114501</v>
      </c>
      <c r="AK264" s="3">
        <f>V264*Feuil2!$G$3</f>
        <v>0</v>
      </c>
      <c r="AL264" s="3">
        <f>W264*Feuil2!$H$3</f>
        <v>0</v>
      </c>
      <c r="AM264" s="3">
        <f>X264*Feuil2!$I$2</f>
        <v>0</v>
      </c>
      <c r="AN264" s="3">
        <f>Y264*Feuil2!$J$3</f>
        <v>70.289831853197867</v>
      </c>
      <c r="AO264" s="3">
        <f>Z264*Feuil2!$K$3</f>
        <v>33.736671741778324</v>
      </c>
      <c r="AP264" s="3">
        <f>AA264*Feuil2!$L$3</f>
        <v>0</v>
      </c>
      <c r="AQ264" s="3">
        <f>AB264*Feuil2!$M$3</f>
        <v>0</v>
      </c>
      <c r="AR264" s="3">
        <f>AC264*Feuil2!$N$3</f>
        <v>156.58344173698686</v>
      </c>
    </row>
    <row r="265" spans="1:44" x14ac:dyDescent="0.35">
      <c r="A265" t="s">
        <v>527</v>
      </c>
      <c r="B265" t="s">
        <v>528</v>
      </c>
      <c r="C265">
        <v>14</v>
      </c>
      <c r="D265">
        <v>15</v>
      </c>
      <c r="E265">
        <v>0</v>
      </c>
      <c r="F265">
        <v>12</v>
      </c>
      <c r="G265">
        <v>4</v>
      </c>
      <c r="H265">
        <v>0</v>
      </c>
      <c r="I265">
        <v>0</v>
      </c>
      <c r="J265">
        <v>0</v>
      </c>
      <c r="K265">
        <v>69</v>
      </c>
      <c r="L265">
        <v>25</v>
      </c>
      <c r="M265">
        <v>0</v>
      </c>
      <c r="N265">
        <v>0</v>
      </c>
      <c r="O265">
        <v>139</v>
      </c>
      <c r="Q265" s="1">
        <f>C265/$C$434</f>
        <v>3.4560221185415588E-4</v>
      </c>
      <c r="R265" s="1">
        <f t="shared" si="61"/>
        <v>6.3232442458477367E-4</v>
      </c>
      <c r="S265" s="1">
        <f t="shared" si="51"/>
        <v>0</v>
      </c>
      <c r="T265" s="1">
        <f t="shared" si="52"/>
        <v>4.8186965425852307E-4</v>
      </c>
      <c r="U265" s="1">
        <f t="shared" si="53"/>
        <v>1.9067594622938316E-4</v>
      </c>
      <c r="V265" s="1">
        <f t="shared" si="54"/>
        <v>0</v>
      </c>
      <c r="W265" s="1">
        <f t="shared" si="55"/>
        <v>0</v>
      </c>
      <c r="X265" s="1">
        <f t="shared" si="56"/>
        <v>0</v>
      </c>
      <c r="Y265" s="1">
        <f t="shared" si="57"/>
        <v>1.7659253192741791E-3</v>
      </c>
      <c r="Z265" s="1">
        <f t="shared" si="62"/>
        <v>6.3438895655704424E-4</v>
      </c>
      <c r="AA265" s="1">
        <f t="shared" si="58"/>
        <v>0</v>
      </c>
      <c r="AB265" s="1">
        <f t="shared" si="59"/>
        <v>0</v>
      </c>
      <c r="AC265" s="1">
        <f t="shared" si="60"/>
        <v>3.6608619618006173E-4</v>
      </c>
      <c r="AD265" s="1" t="str">
        <f t="shared" si="63"/>
        <v>NOXANE</v>
      </c>
      <c r="AE265" s="1" t="str">
        <f t="shared" si="64"/>
        <v>5220</v>
      </c>
      <c r="AF265" s="3">
        <f>Q265*Feuil2!$B$3</f>
        <v>12.225650596163815</v>
      </c>
      <c r="AG265" s="3">
        <f>R265*Feuil2!$C$3</f>
        <v>22.3684259337324</v>
      </c>
      <c r="AH265" s="3">
        <f>S265*Feuil2!$D$3</f>
        <v>0</v>
      </c>
      <c r="AI265" s="3">
        <f>T265*Feuil2!$E$2</f>
        <v>18.061920250572221</v>
      </c>
      <c r="AJ265" s="3">
        <f>U265*Feuil2!$F$3</f>
        <v>4.8714653446467731</v>
      </c>
      <c r="AK265" s="3">
        <f>V265*Feuil2!$G$3</f>
        <v>0</v>
      </c>
      <c r="AL265" s="3">
        <f>W265*Feuil2!$H$3</f>
        <v>0</v>
      </c>
      <c r="AM265" s="3">
        <f>X265*Feuil2!$I$2</f>
        <v>0</v>
      </c>
      <c r="AN265" s="3">
        <f>Y265*Feuil2!$J$3</f>
        <v>74.615359967240821</v>
      </c>
      <c r="AO265" s="3">
        <f>Z265*Feuil2!$K$3</f>
        <v>25.558084652862362</v>
      </c>
      <c r="AP265" s="3">
        <f>AA265*Feuil2!$L$3</f>
        <v>0</v>
      </c>
      <c r="AQ265" s="3">
        <f>AB265*Feuil2!$M$3</f>
        <v>0</v>
      </c>
      <c r="AR265" s="3">
        <f>AC265*Feuil2!$N$3</f>
        <v>153.2753408552195</v>
      </c>
    </row>
    <row r="266" spans="1:44" x14ac:dyDescent="0.35">
      <c r="A266" t="s">
        <v>529</v>
      </c>
      <c r="B266" t="s">
        <v>530</v>
      </c>
      <c r="C266">
        <v>11</v>
      </c>
      <c r="D266">
        <v>0</v>
      </c>
      <c r="E266">
        <v>50</v>
      </c>
      <c r="F266">
        <v>18</v>
      </c>
      <c r="G266">
        <v>0</v>
      </c>
      <c r="H266">
        <v>0</v>
      </c>
      <c r="I266">
        <v>0</v>
      </c>
      <c r="J266">
        <v>0</v>
      </c>
      <c r="K266">
        <v>21</v>
      </c>
      <c r="L266">
        <v>37</v>
      </c>
      <c r="M266">
        <v>0</v>
      </c>
      <c r="N266">
        <v>0</v>
      </c>
      <c r="O266">
        <v>137</v>
      </c>
      <c r="Q266" s="1">
        <f>C266/$C$434</f>
        <v>2.7154459502826535E-4</v>
      </c>
      <c r="R266" s="1">
        <f t="shared" si="61"/>
        <v>0</v>
      </c>
      <c r="S266" s="1">
        <f t="shared" si="51"/>
        <v>1.6972741776706609E-3</v>
      </c>
      <c r="T266" s="1">
        <f t="shared" si="52"/>
        <v>7.2280448138778463E-4</v>
      </c>
      <c r="U266" s="1">
        <f t="shared" si="53"/>
        <v>0</v>
      </c>
      <c r="V266" s="1">
        <f t="shared" si="54"/>
        <v>0</v>
      </c>
      <c r="W266" s="1">
        <f t="shared" si="55"/>
        <v>0</v>
      </c>
      <c r="X266" s="1">
        <f t="shared" si="56"/>
        <v>0</v>
      </c>
      <c r="Y266" s="1">
        <f t="shared" si="57"/>
        <v>5.3745553195301099E-4</v>
      </c>
      <c r="Z266" s="1">
        <f t="shared" si="62"/>
        <v>9.3889565570442546E-4</v>
      </c>
      <c r="AA266" s="1">
        <f t="shared" si="58"/>
        <v>0</v>
      </c>
      <c r="AB266" s="1">
        <f t="shared" si="59"/>
        <v>0</v>
      </c>
      <c r="AC266" s="1">
        <f t="shared" si="60"/>
        <v>3.6081876889689537E-4</v>
      </c>
      <c r="AD266" s="1" t="str">
        <f t="shared" si="63"/>
        <v>SOSSON GERARD SARL</v>
      </c>
      <c r="AE266" s="1" t="str">
        <f t="shared" si="64"/>
        <v>3366</v>
      </c>
      <c r="AF266" s="3">
        <f>Q266*Feuil2!$B$3</f>
        <v>9.6058683255572834</v>
      </c>
      <c r="AG266" s="3">
        <f>R266*Feuil2!$C$3</f>
        <v>0</v>
      </c>
      <c r="AH266" s="3">
        <f>S266*Feuil2!$D$3</f>
        <v>66.699141179266107</v>
      </c>
      <c r="AI266" s="3">
        <f>T266*Feuil2!$E$2</f>
        <v>27.092880375858332</v>
      </c>
      <c r="AJ266" s="3">
        <f>U266*Feuil2!$F$3</f>
        <v>0</v>
      </c>
      <c r="AK266" s="3">
        <f>V266*Feuil2!$G$3</f>
        <v>0</v>
      </c>
      <c r="AL266" s="3">
        <f>W266*Feuil2!$H$3</f>
        <v>0</v>
      </c>
      <c r="AM266" s="3">
        <f>X266*Feuil2!$I$2</f>
        <v>0</v>
      </c>
      <c r="AN266" s="3">
        <f>Y266*Feuil2!$J$3</f>
        <v>22.709022598725461</v>
      </c>
      <c r="AO266" s="3">
        <f>Z266*Feuil2!$K$3</f>
        <v>37.825965286236297</v>
      </c>
      <c r="AP266" s="3">
        <f>AA266*Feuil2!$L$3</f>
        <v>0</v>
      </c>
      <c r="AQ266" s="3">
        <f>AB266*Feuil2!$M$3</f>
        <v>0</v>
      </c>
      <c r="AR266" s="3">
        <f>AC266*Feuil2!$N$3</f>
        <v>151.06994026737462</v>
      </c>
    </row>
    <row r="267" spans="1:44" x14ac:dyDescent="0.35">
      <c r="A267" t="s">
        <v>531</v>
      </c>
      <c r="B267" t="s">
        <v>532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133</v>
      </c>
      <c r="N267">
        <v>0</v>
      </c>
      <c r="O267">
        <v>133</v>
      </c>
      <c r="Q267" s="1">
        <f>C267/$C$434</f>
        <v>0</v>
      </c>
      <c r="R267" s="1">
        <f t="shared" si="61"/>
        <v>0</v>
      </c>
      <c r="S267" s="1">
        <f t="shared" si="51"/>
        <v>0</v>
      </c>
      <c r="T267" s="1">
        <f t="shared" si="52"/>
        <v>0</v>
      </c>
      <c r="U267" s="1">
        <f t="shared" si="53"/>
        <v>0</v>
      </c>
      <c r="V267" s="1">
        <f t="shared" si="54"/>
        <v>0</v>
      </c>
      <c r="W267" s="1">
        <f t="shared" si="55"/>
        <v>0</v>
      </c>
      <c r="X267" s="1">
        <f t="shared" si="56"/>
        <v>0</v>
      </c>
      <c r="Y267" s="1">
        <f t="shared" si="57"/>
        <v>0</v>
      </c>
      <c r="Z267" s="1">
        <f t="shared" si="62"/>
        <v>0</v>
      </c>
      <c r="AA267" s="1">
        <f t="shared" si="58"/>
        <v>3.3297448864632101E-3</v>
      </c>
      <c r="AB267" s="1">
        <f t="shared" si="59"/>
        <v>0</v>
      </c>
      <c r="AC267" s="1">
        <f t="shared" si="60"/>
        <v>3.5028391433056266E-4</v>
      </c>
      <c r="AD267" s="1" t="str">
        <f t="shared" si="63"/>
        <v>BONNEVILLE GARAGE</v>
      </c>
      <c r="AE267" s="1" t="str">
        <f t="shared" si="64"/>
        <v>5292</v>
      </c>
      <c r="AF267" s="3">
        <f>Q267*Feuil2!$B$3</f>
        <v>0</v>
      </c>
      <c r="AG267" s="3">
        <f>R267*Feuil2!$C$3</f>
        <v>0</v>
      </c>
      <c r="AH267" s="3">
        <f>S267*Feuil2!$D$3</f>
        <v>0</v>
      </c>
      <c r="AI267" s="3">
        <f>T267*Feuil2!$E$2</f>
        <v>0</v>
      </c>
      <c r="AJ267" s="3">
        <f>U267*Feuil2!$F$3</f>
        <v>0</v>
      </c>
      <c r="AK267" s="3">
        <f>V267*Feuil2!$G$3</f>
        <v>0</v>
      </c>
      <c r="AL267" s="3">
        <f>W267*Feuil2!$H$3</f>
        <v>0</v>
      </c>
      <c r="AM267" s="3">
        <f>X267*Feuil2!$I$2</f>
        <v>0</v>
      </c>
      <c r="AN267" s="3">
        <f>Y267*Feuil2!$J$3</f>
        <v>0</v>
      </c>
      <c r="AO267" s="3">
        <f>Z267*Feuil2!$K$3</f>
        <v>0</v>
      </c>
      <c r="AP267" s="3">
        <f>AA267*Feuil2!$L$3</f>
        <v>121.06113311468845</v>
      </c>
      <c r="AQ267" s="3">
        <f>AB267*Feuil2!$M$3</f>
        <v>0</v>
      </c>
      <c r="AR267" s="3">
        <f>AC267*Feuil2!$N$3</f>
        <v>146.65913909168486</v>
      </c>
    </row>
    <row r="268" spans="1:44" x14ac:dyDescent="0.35">
      <c r="A268" t="s">
        <v>533</v>
      </c>
      <c r="B268" t="s">
        <v>534</v>
      </c>
      <c r="C268">
        <v>0</v>
      </c>
      <c r="D268">
        <v>88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5</v>
      </c>
      <c r="L268">
        <v>0</v>
      </c>
      <c r="M268">
        <v>35</v>
      </c>
      <c r="N268">
        <v>0</v>
      </c>
      <c r="O268">
        <v>128</v>
      </c>
      <c r="Q268" s="1">
        <f>C268/$C$434</f>
        <v>0</v>
      </c>
      <c r="R268" s="1">
        <f t="shared" si="61"/>
        <v>3.709636624230672E-3</v>
      </c>
      <c r="S268" s="1">
        <f t="shared" si="51"/>
        <v>0</v>
      </c>
      <c r="T268" s="1">
        <f t="shared" si="52"/>
        <v>0</v>
      </c>
      <c r="U268" s="1">
        <f t="shared" si="53"/>
        <v>0</v>
      </c>
      <c r="V268" s="1">
        <f t="shared" si="54"/>
        <v>0</v>
      </c>
      <c r="W268" s="1">
        <f t="shared" si="55"/>
        <v>0</v>
      </c>
      <c r="X268" s="1">
        <f t="shared" si="56"/>
        <v>0</v>
      </c>
      <c r="Y268" s="1">
        <f t="shared" si="57"/>
        <v>1.27965602845955E-4</v>
      </c>
      <c r="Z268" s="1">
        <f t="shared" si="62"/>
        <v>0</v>
      </c>
      <c r="AA268" s="1">
        <f t="shared" si="58"/>
        <v>8.7624865433242368E-4</v>
      </c>
      <c r="AB268" s="1">
        <f t="shared" si="59"/>
        <v>0</v>
      </c>
      <c r="AC268" s="1">
        <f t="shared" si="60"/>
        <v>3.3711534612264679E-4</v>
      </c>
      <c r="AD268" s="1" t="str">
        <f t="shared" si="63"/>
        <v>DUPONT SARL</v>
      </c>
      <c r="AE268" s="1" t="str">
        <f t="shared" si="64"/>
        <v>6208</v>
      </c>
      <c r="AF268" s="3">
        <f>Q268*Feuil2!$B$3</f>
        <v>0</v>
      </c>
      <c r="AG268" s="3">
        <f>R268*Feuil2!$C$3</f>
        <v>131.22809881123007</v>
      </c>
      <c r="AH268" s="3">
        <f>S268*Feuil2!$D$3</f>
        <v>0</v>
      </c>
      <c r="AI268" s="3">
        <f>T268*Feuil2!$E$2</f>
        <v>0</v>
      </c>
      <c r="AJ268" s="3">
        <f>U268*Feuil2!$F$3</f>
        <v>0</v>
      </c>
      <c r="AK268" s="3">
        <f>V268*Feuil2!$G$3</f>
        <v>0</v>
      </c>
      <c r="AL268" s="3">
        <f>W268*Feuil2!$H$3</f>
        <v>0</v>
      </c>
      <c r="AM268" s="3">
        <f>X268*Feuil2!$I$2</f>
        <v>0</v>
      </c>
      <c r="AN268" s="3">
        <f>Y268*Feuil2!$J$3</f>
        <v>5.4069101425536816</v>
      </c>
      <c r="AO268" s="3">
        <f>Z268*Feuil2!$K$3</f>
        <v>0</v>
      </c>
      <c r="AP268" s="3">
        <f>AA268*Feuil2!$L$3</f>
        <v>31.858192924918011</v>
      </c>
      <c r="AQ268" s="3">
        <f>AB268*Feuil2!$M$3</f>
        <v>0</v>
      </c>
      <c r="AR268" s="3">
        <f>AC268*Feuil2!$N$3</f>
        <v>141.14563762207266</v>
      </c>
    </row>
    <row r="269" spans="1:44" x14ac:dyDescent="0.35">
      <c r="A269" t="s">
        <v>535</v>
      </c>
      <c r="B269" t="s">
        <v>536</v>
      </c>
      <c r="C269">
        <v>125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125</v>
      </c>
      <c r="Q269" s="1">
        <f>C269/$C$434</f>
        <v>3.0857340344121061E-3</v>
      </c>
      <c r="R269" s="1">
        <f t="shared" si="61"/>
        <v>0</v>
      </c>
      <c r="S269" s="1">
        <f t="shared" si="51"/>
        <v>0</v>
      </c>
      <c r="T269" s="1">
        <f t="shared" si="52"/>
        <v>0</v>
      </c>
      <c r="U269" s="1">
        <f t="shared" si="53"/>
        <v>0</v>
      </c>
      <c r="V269" s="1">
        <f t="shared" si="54"/>
        <v>0</v>
      </c>
      <c r="W269" s="1">
        <f t="shared" si="55"/>
        <v>0</v>
      </c>
      <c r="X269" s="1">
        <f t="shared" si="56"/>
        <v>0</v>
      </c>
      <c r="Y269" s="1">
        <f t="shared" si="57"/>
        <v>0</v>
      </c>
      <c r="Z269" s="1">
        <f t="shared" si="62"/>
        <v>0</v>
      </c>
      <c r="AA269" s="1">
        <f t="shared" si="58"/>
        <v>0</v>
      </c>
      <c r="AB269" s="1">
        <f t="shared" si="59"/>
        <v>0</v>
      </c>
      <c r="AC269" s="1">
        <f t="shared" si="60"/>
        <v>3.2921420519789723E-4</v>
      </c>
      <c r="AD269" s="1" t="str">
        <f t="shared" si="63"/>
        <v>AP AUTO</v>
      </c>
      <c r="AE269" s="1" t="str">
        <f t="shared" si="64"/>
        <v>3586</v>
      </c>
      <c r="AF269" s="3">
        <f>Q269*Feuil2!$B$3</f>
        <v>109.15759460860549</v>
      </c>
      <c r="AG269" s="3">
        <f>R269*Feuil2!$C$3</f>
        <v>0</v>
      </c>
      <c r="AH269" s="3">
        <f>S269*Feuil2!$D$3</f>
        <v>0</v>
      </c>
      <c r="AI269" s="3">
        <f>T269*Feuil2!$E$2</f>
        <v>0</v>
      </c>
      <c r="AJ269" s="3">
        <f>U269*Feuil2!$F$3</f>
        <v>0</v>
      </c>
      <c r="AK269" s="3">
        <f>V269*Feuil2!$G$3</f>
        <v>0</v>
      </c>
      <c r="AL269" s="3">
        <f>W269*Feuil2!$H$3</f>
        <v>0</v>
      </c>
      <c r="AM269" s="3">
        <f>X269*Feuil2!$I$2</f>
        <v>0</v>
      </c>
      <c r="AN269" s="3">
        <f>Y269*Feuil2!$J$3</f>
        <v>0</v>
      </c>
      <c r="AO269" s="3">
        <f>Z269*Feuil2!$K$3</f>
        <v>0</v>
      </c>
      <c r="AP269" s="3">
        <f>AA269*Feuil2!$L$3</f>
        <v>0</v>
      </c>
      <c r="AQ269" s="3">
        <f>AB269*Feuil2!$M$3</f>
        <v>0</v>
      </c>
      <c r="AR269" s="3">
        <f>AC269*Feuil2!$N$3</f>
        <v>137.8375367403053</v>
      </c>
    </row>
    <row r="270" spans="1:44" x14ac:dyDescent="0.35">
      <c r="A270" t="s">
        <v>537</v>
      </c>
      <c r="B270" t="s">
        <v>538</v>
      </c>
      <c r="C270">
        <v>71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54</v>
      </c>
      <c r="N270">
        <v>0</v>
      </c>
      <c r="O270">
        <v>125</v>
      </c>
      <c r="Q270" s="1">
        <f>C270/$C$434</f>
        <v>1.7526969315460762E-3</v>
      </c>
      <c r="R270" s="1">
        <f t="shared" si="61"/>
        <v>0</v>
      </c>
      <c r="S270" s="1">
        <f t="shared" si="51"/>
        <v>0</v>
      </c>
      <c r="T270" s="1">
        <f t="shared" si="52"/>
        <v>0</v>
      </c>
      <c r="U270" s="1">
        <f t="shared" si="53"/>
        <v>0</v>
      </c>
      <c r="V270" s="1">
        <f t="shared" si="54"/>
        <v>0</v>
      </c>
      <c r="W270" s="1">
        <f t="shared" si="55"/>
        <v>0</v>
      </c>
      <c r="X270" s="1">
        <f t="shared" si="56"/>
        <v>0</v>
      </c>
      <c r="Y270" s="1">
        <f t="shared" si="57"/>
        <v>0</v>
      </c>
      <c r="Z270" s="1">
        <f t="shared" si="62"/>
        <v>0</v>
      </c>
      <c r="AA270" s="1">
        <f t="shared" si="58"/>
        <v>1.3519264952557395E-3</v>
      </c>
      <c r="AB270" s="1">
        <f t="shared" si="59"/>
        <v>0</v>
      </c>
      <c r="AC270" s="1">
        <f t="shared" si="60"/>
        <v>3.2921420519789723E-4</v>
      </c>
      <c r="AD270" s="1" t="str">
        <f t="shared" si="63"/>
        <v>JFB AUTOMOBILES</v>
      </c>
      <c r="AE270" s="1" t="str">
        <f t="shared" si="64"/>
        <v>2275</v>
      </c>
      <c r="AF270" s="3">
        <f>Q270*Feuil2!$B$3</f>
        <v>62.001513737687915</v>
      </c>
      <c r="AG270" s="3">
        <f>R270*Feuil2!$C$3</f>
        <v>0</v>
      </c>
      <c r="AH270" s="3">
        <f>S270*Feuil2!$D$3</f>
        <v>0</v>
      </c>
      <c r="AI270" s="3">
        <f>T270*Feuil2!$E$2</f>
        <v>0</v>
      </c>
      <c r="AJ270" s="3">
        <f>U270*Feuil2!$F$3</f>
        <v>0</v>
      </c>
      <c r="AK270" s="3">
        <f>V270*Feuil2!$G$3</f>
        <v>0</v>
      </c>
      <c r="AL270" s="3">
        <f>W270*Feuil2!$H$3</f>
        <v>0</v>
      </c>
      <c r="AM270" s="3">
        <f>X270*Feuil2!$I$2</f>
        <v>0</v>
      </c>
      <c r="AN270" s="3">
        <f>Y270*Feuil2!$J$3</f>
        <v>0</v>
      </c>
      <c r="AO270" s="3">
        <f>Z270*Feuil2!$K$3</f>
        <v>0</v>
      </c>
      <c r="AP270" s="3">
        <f>AA270*Feuil2!$L$3</f>
        <v>49.152640512730649</v>
      </c>
      <c r="AQ270" s="3">
        <f>AB270*Feuil2!$M$3</f>
        <v>0</v>
      </c>
      <c r="AR270" s="3">
        <f>AC270*Feuil2!$N$3</f>
        <v>137.8375367403053</v>
      </c>
    </row>
    <row r="271" spans="1:44" x14ac:dyDescent="0.35">
      <c r="A271" t="s">
        <v>539</v>
      </c>
      <c r="B271" t="s">
        <v>540</v>
      </c>
      <c r="C271">
        <v>9</v>
      </c>
      <c r="D271">
        <v>9</v>
      </c>
      <c r="E271">
        <v>10</v>
      </c>
      <c r="F271">
        <v>9</v>
      </c>
      <c r="G271">
        <v>40</v>
      </c>
      <c r="H271">
        <v>10</v>
      </c>
      <c r="I271">
        <v>9</v>
      </c>
      <c r="J271">
        <v>10</v>
      </c>
      <c r="K271">
        <v>0</v>
      </c>
      <c r="L271">
        <v>18</v>
      </c>
      <c r="M271">
        <v>0</v>
      </c>
      <c r="N271">
        <v>0</v>
      </c>
      <c r="O271">
        <v>124</v>
      </c>
      <c r="Q271" s="1">
        <f>C271/$C$434</f>
        <v>2.2217285047767163E-4</v>
      </c>
      <c r="R271" s="1">
        <f t="shared" si="61"/>
        <v>3.7939465475086417E-4</v>
      </c>
      <c r="S271" s="1">
        <f t="shared" si="51"/>
        <v>3.3945483553413216E-4</v>
      </c>
      <c r="T271" s="1">
        <f t="shared" si="52"/>
        <v>3.6140224069389231E-4</v>
      </c>
      <c r="U271" s="1">
        <f t="shared" si="53"/>
        <v>1.9067594622938315E-3</v>
      </c>
      <c r="V271" s="1">
        <f t="shared" si="54"/>
        <v>3.3475044354433768E-4</v>
      </c>
      <c r="W271" s="1">
        <f t="shared" si="55"/>
        <v>2.0153164046755341E-4</v>
      </c>
      <c r="X271" s="1">
        <f t="shared" si="56"/>
        <v>5.3424511165722831E-4</v>
      </c>
      <c r="Y271" s="1">
        <f t="shared" si="57"/>
        <v>0</v>
      </c>
      <c r="Z271" s="1">
        <f t="shared" si="62"/>
        <v>4.5676004872107184E-4</v>
      </c>
      <c r="AA271" s="1">
        <f t="shared" si="58"/>
        <v>0</v>
      </c>
      <c r="AB271" s="1">
        <f t="shared" si="59"/>
        <v>0</v>
      </c>
      <c r="AC271" s="1">
        <f t="shared" si="60"/>
        <v>3.2658049155631408E-4</v>
      </c>
      <c r="AD271" s="1" t="str">
        <f t="shared" si="63"/>
        <v>ETS CAEN-SUD DEPUIS 1956</v>
      </c>
      <c r="AE271" s="1" t="str">
        <f t="shared" si="64"/>
        <v>3018</v>
      </c>
      <c r="AF271" s="3">
        <f>Q271*Feuil2!$B$3</f>
        <v>7.859346811819595</v>
      </c>
      <c r="AG271" s="3">
        <f>R271*Feuil2!$C$3</f>
        <v>13.42105556023944</v>
      </c>
      <c r="AH271" s="3">
        <f>S271*Feuil2!$D$3</f>
        <v>13.33982823585322</v>
      </c>
      <c r="AI271" s="3">
        <f>T271*Feuil2!$E$2</f>
        <v>13.546440187929166</v>
      </c>
      <c r="AJ271" s="3">
        <f>U271*Feuil2!$F$3</f>
        <v>48.714653446467729</v>
      </c>
      <c r="AK271" s="3">
        <f>V271*Feuil2!$G$3</f>
        <v>13.486332139390084</v>
      </c>
      <c r="AL271" s="3">
        <f>W271*Feuil2!$H$3</f>
        <v>7.3271825876662646</v>
      </c>
      <c r="AM271" s="3">
        <f>X271*Feuil2!$I$2</f>
        <v>11.412544075221712</v>
      </c>
      <c r="AN271" s="3">
        <f>Y271*Feuil2!$J$3</f>
        <v>0</v>
      </c>
      <c r="AO271" s="3">
        <f>Z271*Feuil2!$K$3</f>
        <v>18.401820950060902</v>
      </c>
      <c r="AP271" s="3">
        <f>AA271*Feuil2!$L$3</f>
        <v>0</v>
      </c>
      <c r="AQ271" s="3">
        <f>AB271*Feuil2!$M$3</f>
        <v>0</v>
      </c>
      <c r="AR271" s="3">
        <f>AC271*Feuil2!$N$3</f>
        <v>136.73483644638287</v>
      </c>
    </row>
    <row r="272" spans="1:44" x14ac:dyDescent="0.35">
      <c r="A272" t="s">
        <v>541</v>
      </c>
      <c r="B272" t="s">
        <v>542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102</v>
      </c>
      <c r="K272">
        <v>0</v>
      </c>
      <c r="L272">
        <v>20</v>
      </c>
      <c r="M272">
        <v>0</v>
      </c>
      <c r="N272">
        <v>0</v>
      </c>
      <c r="O272">
        <v>122</v>
      </c>
      <c r="Q272" s="1">
        <f>C272/$C$434</f>
        <v>0</v>
      </c>
      <c r="R272" s="1">
        <f t="shared" si="61"/>
        <v>0</v>
      </c>
      <c r="S272" s="1">
        <f t="shared" si="51"/>
        <v>0</v>
      </c>
      <c r="T272" s="1">
        <f t="shared" si="52"/>
        <v>0</v>
      </c>
      <c r="U272" s="1">
        <f t="shared" si="53"/>
        <v>0</v>
      </c>
      <c r="V272" s="1">
        <f t="shared" si="54"/>
        <v>0</v>
      </c>
      <c r="W272" s="1">
        <f t="shared" si="55"/>
        <v>0</v>
      </c>
      <c r="X272" s="1">
        <f t="shared" si="56"/>
        <v>5.4493001389037286E-3</v>
      </c>
      <c r="Y272" s="1">
        <f t="shared" si="57"/>
        <v>0</v>
      </c>
      <c r="Z272" s="1">
        <f t="shared" si="62"/>
        <v>5.0751116524563541E-4</v>
      </c>
      <c r="AA272" s="1">
        <f t="shared" si="58"/>
        <v>0</v>
      </c>
      <c r="AB272" s="1">
        <f t="shared" si="59"/>
        <v>0</v>
      </c>
      <c r="AC272" s="1">
        <f t="shared" si="60"/>
        <v>3.2131306427314772E-4</v>
      </c>
      <c r="AD272" s="1" t="str">
        <f t="shared" si="63"/>
        <v>VYLYA</v>
      </c>
      <c r="AE272" s="1" t="str">
        <f t="shared" si="64"/>
        <v>3161</v>
      </c>
      <c r="AF272" s="3">
        <f>Q272*Feuil2!$B$3</f>
        <v>0</v>
      </c>
      <c r="AG272" s="3">
        <f>R272*Feuil2!$C$3</f>
        <v>0</v>
      </c>
      <c r="AH272" s="3">
        <f>S272*Feuil2!$D$3</f>
        <v>0</v>
      </c>
      <c r="AI272" s="3">
        <f>T272*Feuil2!$E$2</f>
        <v>0</v>
      </c>
      <c r="AJ272" s="3">
        <f>U272*Feuil2!$F$3</f>
        <v>0</v>
      </c>
      <c r="AK272" s="3">
        <f>V272*Feuil2!$G$3</f>
        <v>0</v>
      </c>
      <c r="AL272" s="3">
        <f>W272*Feuil2!$H$3</f>
        <v>0</v>
      </c>
      <c r="AM272" s="3">
        <f>X272*Feuil2!$I$2</f>
        <v>116.40794956726145</v>
      </c>
      <c r="AN272" s="3">
        <f>Y272*Feuil2!$J$3</f>
        <v>0</v>
      </c>
      <c r="AO272" s="3">
        <f>Z272*Feuil2!$K$3</f>
        <v>20.446467722289892</v>
      </c>
      <c r="AP272" s="3">
        <f>AA272*Feuil2!$L$3</f>
        <v>0</v>
      </c>
      <c r="AQ272" s="3">
        <f>AB272*Feuil2!$M$3</f>
        <v>0</v>
      </c>
      <c r="AR272" s="3">
        <f>AC272*Feuil2!$N$3</f>
        <v>134.52943585853799</v>
      </c>
    </row>
    <row r="273" spans="1:44" x14ac:dyDescent="0.35">
      <c r="A273" t="s">
        <v>543</v>
      </c>
      <c r="B273" t="s">
        <v>544</v>
      </c>
      <c r="C273">
        <v>33</v>
      </c>
      <c r="D273">
        <v>0</v>
      </c>
      <c r="E273">
        <v>46</v>
      </c>
      <c r="F273">
        <v>0</v>
      </c>
      <c r="G273">
        <v>0</v>
      </c>
      <c r="H273">
        <v>0</v>
      </c>
      <c r="I273">
        <v>35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114</v>
      </c>
      <c r="Q273" s="1">
        <f>C273/$C$434</f>
        <v>8.1463378508479594E-4</v>
      </c>
      <c r="R273" s="1">
        <f t="shared" si="61"/>
        <v>0</v>
      </c>
      <c r="S273" s="1">
        <f t="shared" si="51"/>
        <v>1.5614922434570081E-3</v>
      </c>
      <c r="T273" s="1">
        <f t="shared" si="52"/>
        <v>0</v>
      </c>
      <c r="U273" s="1">
        <f t="shared" si="53"/>
        <v>0</v>
      </c>
      <c r="V273" s="1">
        <f t="shared" si="54"/>
        <v>0</v>
      </c>
      <c r="W273" s="1">
        <f t="shared" si="55"/>
        <v>7.8373415737381885E-4</v>
      </c>
      <c r="X273" s="1">
        <f t="shared" si="56"/>
        <v>0</v>
      </c>
      <c r="Y273" s="1">
        <f t="shared" si="57"/>
        <v>0</v>
      </c>
      <c r="Z273" s="1">
        <f t="shared" si="62"/>
        <v>0</v>
      </c>
      <c r="AA273" s="1">
        <f t="shared" si="58"/>
        <v>0</v>
      </c>
      <c r="AB273" s="1">
        <f t="shared" si="59"/>
        <v>0</v>
      </c>
      <c r="AC273" s="1">
        <f t="shared" si="60"/>
        <v>3.0024335514048229E-4</v>
      </c>
      <c r="AD273" s="1" t="str">
        <f t="shared" si="63"/>
        <v>VF AUTOMOBILES.</v>
      </c>
      <c r="AE273" s="1" t="str">
        <f t="shared" si="64"/>
        <v>45434</v>
      </c>
      <c r="AF273" s="3">
        <f>Q273*Feuil2!$B$3</f>
        <v>28.817604976671849</v>
      </c>
      <c r="AG273" s="3">
        <f>R273*Feuil2!$C$3</f>
        <v>0</v>
      </c>
      <c r="AH273" s="3">
        <f>S273*Feuil2!$D$3</f>
        <v>61.363209884924814</v>
      </c>
      <c r="AI273" s="3">
        <f>T273*Feuil2!$E$2</f>
        <v>0</v>
      </c>
      <c r="AJ273" s="3">
        <f>U273*Feuil2!$F$3</f>
        <v>0</v>
      </c>
      <c r="AK273" s="3">
        <f>V273*Feuil2!$G$3</f>
        <v>0</v>
      </c>
      <c r="AL273" s="3">
        <f>W273*Feuil2!$H$3</f>
        <v>28.494598952035474</v>
      </c>
      <c r="AM273" s="3">
        <f>X273*Feuil2!$I$2</f>
        <v>0</v>
      </c>
      <c r="AN273" s="3">
        <f>Y273*Feuil2!$J$3</f>
        <v>0</v>
      </c>
      <c r="AO273" s="3">
        <f>Z273*Feuil2!$K$3</f>
        <v>0</v>
      </c>
      <c r="AP273" s="3">
        <f>AA273*Feuil2!$L$3</f>
        <v>0</v>
      </c>
      <c r="AQ273" s="3">
        <f>AB273*Feuil2!$M$3</f>
        <v>0</v>
      </c>
      <c r="AR273" s="3">
        <f>AC273*Feuil2!$N$3</f>
        <v>125.70783350715845</v>
      </c>
    </row>
    <row r="274" spans="1:44" x14ac:dyDescent="0.35">
      <c r="A274" t="s">
        <v>545</v>
      </c>
      <c r="B274" t="s">
        <v>546</v>
      </c>
      <c r="C274">
        <v>0</v>
      </c>
      <c r="D274">
        <v>56</v>
      </c>
      <c r="E274">
        <v>0</v>
      </c>
      <c r="F274">
        <v>31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27</v>
      </c>
      <c r="M274">
        <v>0</v>
      </c>
      <c r="N274">
        <v>0</v>
      </c>
      <c r="O274">
        <v>114</v>
      </c>
      <c r="Q274" s="1">
        <f>C274/$C$434</f>
        <v>0</v>
      </c>
      <c r="R274" s="1">
        <f t="shared" si="61"/>
        <v>2.3606778517831547E-3</v>
      </c>
      <c r="S274" s="1">
        <f t="shared" si="51"/>
        <v>0</v>
      </c>
      <c r="T274" s="1">
        <f t="shared" si="52"/>
        <v>1.2448299401678514E-3</v>
      </c>
      <c r="U274" s="1">
        <f t="shared" si="53"/>
        <v>0</v>
      </c>
      <c r="V274" s="1">
        <f t="shared" si="54"/>
        <v>0</v>
      </c>
      <c r="W274" s="1">
        <f t="shared" si="55"/>
        <v>0</v>
      </c>
      <c r="X274" s="1">
        <f t="shared" si="56"/>
        <v>0</v>
      </c>
      <c r="Y274" s="1">
        <f t="shared" si="57"/>
        <v>0</v>
      </c>
      <c r="Z274" s="1">
        <f t="shared" si="62"/>
        <v>6.8514007308160781E-4</v>
      </c>
      <c r="AA274" s="1">
        <f t="shared" si="58"/>
        <v>0</v>
      </c>
      <c r="AB274" s="1">
        <f t="shared" si="59"/>
        <v>0</v>
      </c>
      <c r="AC274" s="1">
        <f t="shared" si="60"/>
        <v>3.0024335514048229E-4</v>
      </c>
      <c r="AD274" s="1" t="str">
        <f t="shared" si="63"/>
        <v>WIART ETS W.AUTO</v>
      </c>
      <c r="AE274" s="1" t="str">
        <f t="shared" si="64"/>
        <v>3596</v>
      </c>
      <c r="AF274" s="3">
        <f>Q274*Feuil2!$B$3</f>
        <v>0</v>
      </c>
      <c r="AG274" s="3">
        <f>R274*Feuil2!$C$3</f>
        <v>83.508790152600952</v>
      </c>
      <c r="AH274" s="3">
        <f>S274*Feuil2!$D$3</f>
        <v>0</v>
      </c>
      <c r="AI274" s="3">
        <f>T274*Feuil2!$E$2</f>
        <v>46.659960647311571</v>
      </c>
      <c r="AJ274" s="3">
        <f>U274*Feuil2!$F$3</f>
        <v>0</v>
      </c>
      <c r="AK274" s="3">
        <f>V274*Feuil2!$G$3</f>
        <v>0</v>
      </c>
      <c r="AL274" s="3">
        <f>W274*Feuil2!$H$3</f>
        <v>0</v>
      </c>
      <c r="AM274" s="3">
        <f>X274*Feuil2!$I$2</f>
        <v>0</v>
      </c>
      <c r="AN274" s="3">
        <f>Y274*Feuil2!$J$3</f>
        <v>0</v>
      </c>
      <c r="AO274" s="3">
        <f>Z274*Feuil2!$K$3</f>
        <v>27.602731425091353</v>
      </c>
      <c r="AP274" s="3">
        <f>AA274*Feuil2!$L$3</f>
        <v>0</v>
      </c>
      <c r="AQ274" s="3">
        <f>AB274*Feuil2!$M$3</f>
        <v>0</v>
      </c>
      <c r="AR274" s="3">
        <f>AC274*Feuil2!$N$3</f>
        <v>125.70783350715845</v>
      </c>
    </row>
    <row r="275" spans="1:44" x14ac:dyDescent="0.35">
      <c r="A275" t="s">
        <v>547</v>
      </c>
      <c r="B275" t="s">
        <v>548</v>
      </c>
      <c r="C275">
        <v>113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113</v>
      </c>
      <c r="Q275" s="1">
        <f>C275/$C$434</f>
        <v>2.7895035671085438E-3</v>
      </c>
      <c r="R275" s="1">
        <f t="shared" si="61"/>
        <v>0</v>
      </c>
      <c r="S275" s="1">
        <f t="shared" ref="S275:S338" si="65">E275/E$434</f>
        <v>0</v>
      </c>
      <c r="T275" s="1">
        <f t="shared" ref="T275:T338" si="66">F275/F$434</f>
        <v>0</v>
      </c>
      <c r="U275" s="1">
        <f t="shared" ref="U275:U338" si="67">G275/G$434</f>
        <v>0</v>
      </c>
      <c r="V275" s="1">
        <f t="shared" ref="V275:V338" si="68">H275/H$434</f>
        <v>0</v>
      </c>
      <c r="W275" s="1">
        <f t="shared" ref="W275:W338" si="69">I275/I$434</f>
        <v>0</v>
      </c>
      <c r="X275" s="1">
        <f t="shared" ref="X275:X338" si="70">J275/J$434</f>
        <v>0</v>
      </c>
      <c r="Y275" s="1">
        <f t="shared" ref="Y275:Y338" si="71">K275/K$434</f>
        <v>0</v>
      </c>
      <c r="Z275" s="1">
        <f t="shared" si="62"/>
        <v>0</v>
      </c>
      <c r="AA275" s="1">
        <f t="shared" si="58"/>
        <v>0</v>
      </c>
      <c r="AB275" s="1">
        <f t="shared" si="59"/>
        <v>0</v>
      </c>
      <c r="AC275" s="1">
        <f t="shared" si="60"/>
        <v>2.9760964149889909E-4</v>
      </c>
      <c r="AD275" s="1" t="str">
        <f t="shared" si="63"/>
        <v>CENTRE AUTO ISIGNY</v>
      </c>
      <c r="AE275" s="1" t="str">
        <f t="shared" si="64"/>
        <v>2130</v>
      </c>
      <c r="AF275" s="3">
        <f>Q275*Feuil2!$B$3</f>
        <v>98.678465526179366</v>
      </c>
      <c r="AG275" s="3">
        <f>R275*Feuil2!$C$3</f>
        <v>0</v>
      </c>
      <c r="AH275" s="3">
        <f>S275*Feuil2!$D$3</f>
        <v>0</v>
      </c>
      <c r="AI275" s="3">
        <f>T275*Feuil2!$E$2</f>
        <v>0</v>
      </c>
      <c r="AJ275" s="3">
        <f>U275*Feuil2!$F$3</f>
        <v>0</v>
      </c>
      <c r="AK275" s="3">
        <f>V275*Feuil2!$G$3</f>
        <v>0</v>
      </c>
      <c r="AL275" s="3">
        <f>W275*Feuil2!$H$3</f>
        <v>0</v>
      </c>
      <c r="AM275" s="3">
        <f>X275*Feuil2!$I$2</f>
        <v>0</v>
      </c>
      <c r="AN275" s="3">
        <f>Y275*Feuil2!$J$3</f>
        <v>0</v>
      </c>
      <c r="AO275" s="3">
        <f>Z275*Feuil2!$K$3</f>
        <v>0</v>
      </c>
      <c r="AP275" s="3">
        <f>AA275*Feuil2!$L$3</f>
        <v>0</v>
      </c>
      <c r="AQ275" s="3">
        <f>AB275*Feuil2!$M$3</f>
        <v>0</v>
      </c>
      <c r="AR275" s="3">
        <f>AC275*Feuil2!$N$3</f>
        <v>124.605133213236</v>
      </c>
    </row>
    <row r="276" spans="1:44" x14ac:dyDescent="0.35">
      <c r="A276" t="s">
        <v>549</v>
      </c>
      <c r="B276" t="s">
        <v>550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96</v>
      </c>
      <c r="J276">
        <v>0</v>
      </c>
      <c r="K276">
        <v>16</v>
      </c>
      <c r="L276">
        <v>0</v>
      </c>
      <c r="M276">
        <v>0</v>
      </c>
      <c r="N276">
        <v>0</v>
      </c>
      <c r="O276">
        <v>112</v>
      </c>
      <c r="Q276" s="1">
        <f>C276/$C$434</f>
        <v>0</v>
      </c>
      <c r="R276" s="1">
        <f t="shared" si="61"/>
        <v>0</v>
      </c>
      <c r="S276" s="1">
        <f t="shared" si="65"/>
        <v>0</v>
      </c>
      <c r="T276" s="1">
        <f t="shared" si="66"/>
        <v>0</v>
      </c>
      <c r="U276" s="1">
        <f t="shared" si="67"/>
        <v>0</v>
      </c>
      <c r="V276" s="1">
        <f t="shared" si="68"/>
        <v>0</v>
      </c>
      <c r="W276" s="1">
        <f t="shared" si="69"/>
        <v>2.1496708316539031E-3</v>
      </c>
      <c r="X276" s="1">
        <f t="shared" si="70"/>
        <v>0</v>
      </c>
      <c r="Y276" s="1">
        <f t="shared" si="71"/>
        <v>4.0948992910705602E-4</v>
      </c>
      <c r="Z276" s="1">
        <f t="shared" si="62"/>
        <v>0</v>
      </c>
      <c r="AA276" s="1">
        <f t="shared" si="58"/>
        <v>0</v>
      </c>
      <c r="AB276" s="1">
        <f t="shared" si="59"/>
        <v>0</v>
      </c>
      <c r="AC276" s="1">
        <f t="shared" si="60"/>
        <v>2.9497592785731594E-4</v>
      </c>
      <c r="AD276" s="1" t="str">
        <f t="shared" si="63"/>
        <v>ANGER AUTOMOBILES</v>
      </c>
      <c r="AE276" s="1" t="str">
        <f t="shared" si="64"/>
        <v>5210</v>
      </c>
      <c r="AF276" s="3">
        <f>Q276*Feuil2!$B$3</f>
        <v>0</v>
      </c>
      <c r="AG276" s="3">
        <f>R276*Feuil2!$C$3</f>
        <v>0</v>
      </c>
      <c r="AH276" s="3">
        <f>S276*Feuil2!$D$3</f>
        <v>0</v>
      </c>
      <c r="AI276" s="3">
        <f>T276*Feuil2!$E$2</f>
        <v>0</v>
      </c>
      <c r="AJ276" s="3">
        <f>U276*Feuil2!$F$3</f>
        <v>0</v>
      </c>
      <c r="AK276" s="3">
        <f>V276*Feuil2!$G$3</f>
        <v>0</v>
      </c>
      <c r="AL276" s="3">
        <f>W276*Feuil2!$H$3</f>
        <v>78.156614268440151</v>
      </c>
      <c r="AM276" s="3">
        <f>X276*Feuil2!$I$2</f>
        <v>0</v>
      </c>
      <c r="AN276" s="3">
        <f>Y276*Feuil2!$J$3</f>
        <v>17.302112456171784</v>
      </c>
      <c r="AO276" s="3">
        <f>Z276*Feuil2!$K$3</f>
        <v>0</v>
      </c>
      <c r="AP276" s="3">
        <f>AA276*Feuil2!$L$3</f>
        <v>0</v>
      </c>
      <c r="AQ276" s="3">
        <f>AB276*Feuil2!$M$3</f>
        <v>0</v>
      </c>
      <c r="AR276" s="3">
        <f>AC276*Feuil2!$N$3</f>
        <v>123.50243291931356</v>
      </c>
    </row>
    <row r="277" spans="1:44" x14ac:dyDescent="0.35">
      <c r="A277" t="s">
        <v>551</v>
      </c>
      <c r="B277" t="s">
        <v>552</v>
      </c>
      <c r="C277">
        <v>25</v>
      </c>
      <c r="D277">
        <v>0</v>
      </c>
      <c r="E277">
        <v>0</v>
      </c>
      <c r="F277">
        <v>0</v>
      </c>
      <c r="G277">
        <v>0</v>
      </c>
      <c r="H277">
        <v>28</v>
      </c>
      <c r="I277">
        <v>59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112</v>
      </c>
      <c r="Q277" s="1">
        <f>C277/$C$434</f>
        <v>6.1714680688242118E-4</v>
      </c>
      <c r="R277" s="1">
        <f t="shared" si="61"/>
        <v>0</v>
      </c>
      <c r="S277" s="1">
        <f t="shared" si="65"/>
        <v>0</v>
      </c>
      <c r="T277" s="1">
        <f t="shared" si="66"/>
        <v>0</v>
      </c>
      <c r="U277" s="1">
        <f t="shared" si="67"/>
        <v>0</v>
      </c>
      <c r="V277" s="1">
        <f t="shared" si="68"/>
        <v>9.3730124192414551E-4</v>
      </c>
      <c r="W277" s="1">
        <f t="shared" si="69"/>
        <v>1.3211518652872945E-3</v>
      </c>
      <c r="X277" s="1">
        <f t="shared" si="70"/>
        <v>0</v>
      </c>
      <c r="Y277" s="1">
        <f t="shared" si="71"/>
        <v>0</v>
      </c>
      <c r="Z277" s="1">
        <f t="shared" si="62"/>
        <v>0</v>
      </c>
      <c r="AA277" s="1">
        <f t="shared" si="58"/>
        <v>0</v>
      </c>
      <c r="AB277" s="1">
        <f t="shared" si="59"/>
        <v>0</v>
      </c>
      <c r="AC277" s="1">
        <f t="shared" si="60"/>
        <v>2.9497592785731594E-4</v>
      </c>
      <c r="AD277" s="1" t="str">
        <f t="shared" si="63"/>
        <v>BEUZEVILLE AUTOMOBILES</v>
      </c>
      <c r="AE277" s="1" t="str">
        <f t="shared" si="64"/>
        <v>64772</v>
      </c>
      <c r="AF277" s="3">
        <f>Q277*Feuil2!$B$3</f>
        <v>21.831518921721099</v>
      </c>
      <c r="AG277" s="3">
        <f>R277*Feuil2!$C$3</f>
        <v>0</v>
      </c>
      <c r="AH277" s="3">
        <f>S277*Feuil2!$D$3</f>
        <v>0</v>
      </c>
      <c r="AI277" s="3">
        <f>T277*Feuil2!$E$2</f>
        <v>0</v>
      </c>
      <c r="AJ277" s="3">
        <f>U277*Feuil2!$F$3</f>
        <v>0</v>
      </c>
      <c r="AK277" s="3">
        <f>V277*Feuil2!$G$3</f>
        <v>37.761729990292238</v>
      </c>
      <c r="AL277" s="3">
        <f>W277*Feuil2!$H$3</f>
        <v>48.033752519145509</v>
      </c>
      <c r="AM277" s="3">
        <f>X277*Feuil2!$I$2</f>
        <v>0</v>
      </c>
      <c r="AN277" s="3">
        <f>Y277*Feuil2!$J$3</f>
        <v>0</v>
      </c>
      <c r="AO277" s="3">
        <f>Z277*Feuil2!$K$3</f>
        <v>0</v>
      </c>
      <c r="AP277" s="3">
        <f>AA277*Feuil2!$L$3</f>
        <v>0</v>
      </c>
      <c r="AQ277" s="3">
        <f>AB277*Feuil2!$M$3</f>
        <v>0</v>
      </c>
      <c r="AR277" s="3">
        <f>AC277*Feuil2!$N$3</f>
        <v>123.50243291931356</v>
      </c>
    </row>
    <row r="278" spans="1:44" x14ac:dyDescent="0.35">
      <c r="A278" t="s">
        <v>553</v>
      </c>
      <c r="B278" t="s">
        <v>554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112</v>
      </c>
      <c r="N278">
        <v>0</v>
      </c>
      <c r="O278">
        <v>112</v>
      </c>
      <c r="Q278" s="1">
        <f>C278/$C$434</f>
        <v>0</v>
      </c>
      <c r="R278" s="1">
        <f t="shared" si="61"/>
        <v>0</v>
      </c>
      <c r="S278" s="1">
        <f t="shared" si="65"/>
        <v>0</v>
      </c>
      <c r="T278" s="1">
        <f t="shared" si="66"/>
        <v>0</v>
      </c>
      <c r="U278" s="1">
        <f t="shared" si="67"/>
        <v>0</v>
      </c>
      <c r="V278" s="1">
        <f t="shared" si="68"/>
        <v>0</v>
      </c>
      <c r="W278" s="1">
        <f t="shared" si="69"/>
        <v>0</v>
      </c>
      <c r="X278" s="1">
        <f t="shared" si="70"/>
        <v>0</v>
      </c>
      <c r="Y278" s="1">
        <f t="shared" si="71"/>
        <v>0</v>
      </c>
      <c r="Z278" s="1">
        <f t="shared" si="62"/>
        <v>0</v>
      </c>
      <c r="AA278" s="1">
        <f t="shared" si="58"/>
        <v>2.803995693863756E-3</v>
      </c>
      <c r="AB278" s="1">
        <f t="shared" si="59"/>
        <v>0</v>
      </c>
      <c r="AC278" s="1">
        <f t="shared" si="60"/>
        <v>2.9497592785731594E-4</v>
      </c>
      <c r="AD278" s="1" t="str">
        <f t="shared" si="63"/>
        <v>ETIENNE</v>
      </c>
      <c r="AE278" s="1" t="str">
        <f t="shared" si="64"/>
        <v>5446</v>
      </c>
      <c r="AF278" s="3">
        <f>Q278*Feuil2!$B$3</f>
        <v>0</v>
      </c>
      <c r="AG278" s="3">
        <f>R278*Feuil2!$C$3</f>
        <v>0</v>
      </c>
      <c r="AH278" s="3">
        <f>S278*Feuil2!$D$3</f>
        <v>0</v>
      </c>
      <c r="AI278" s="3">
        <f>T278*Feuil2!$E$2</f>
        <v>0</v>
      </c>
      <c r="AJ278" s="3">
        <f>U278*Feuil2!$F$3</f>
        <v>0</v>
      </c>
      <c r="AK278" s="3">
        <f>V278*Feuil2!$G$3</f>
        <v>0</v>
      </c>
      <c r="AL278" s="3">
        <f>W278*Feuil2!$H$3</f>
        <v>0</v>
      </c>
      <c r="AM278" s="3">
        <f>X278*Feuil2!$I$2</f>
        <v>0</v>
      </c>
      <c r="AN278" s="3">
        <f>Y278*Feuil2!$J$3</f>
        <v>0</v>
      </c>
      <c r="AO278" s="3">
        <f>Z278*Feuil2!$K$3</f>
        <v>0</v>
      </c>
      <c r="AP278" s="3">
        <f>AA278*Feuil2!$L$3</f>
        <v>101.94621735973764</v>
      </c>
      <c r="AQ278" s="3">
        <f>AB278*Feuil2!$M$3</f>
        <v>0</v>
      </c>
      <c r="AR278" s="3">
        <f>AC278*Feuil2!$N$3</f>
        <v>123.50243291931356</v>
      </c>
    </row>
    <row r="279" spans="1:44" x14ac:dyDescent="0.35">
      <c r="A279" t="s">
        <v>555</v>
      </c>
      <c r="B279" t="s">
        <v>556</v>
      </c>
      <c r="C279">
        <v>0</v>
      </c>
      <c r="D279">
        <v>0</v>
      </c>
      <c r="E279">
        <v>0</v>
      </c>
      <c r="F279">
        <v>10</v>
      </c>
      <c r="G279">
        <v>24</v>
      </c>
      <c r="H279">
        <v>0</v>
      </c>
      <c r="I279">
        <v>0</v>
      </c>
      <c r="J279">
        <v>0</v>
      </c>
      <c r="K279">
        <v>0</v>
      </c>
      <c r="L279">
        <v>21</v>
      </c>
      <c r="M279">
        <v>53</v>
      </c>
      <c r="N279">
        <v>0</v>
      </c>
      <c r="O279">
        <v>108</v>
      </c>
      <c r="Q279" s="1">
        <f>C279/$C$434</f>
        <v>0</v>
      </c>
      <c r="R279" s="1">
        <f t="shared" si="61"/>
        <v>0</v>
      </c>
      <c r="S279" s="1">
        <f t="shared" si="65"/>
        <v>0</v>
      </c>
      <c r="T279" s="1">
        <f t="shared" si="66"/>
        <v>4.0155804521543588E-4</v>
      </c>
      <c r="U279" s="1">
        <f t="shared" si="67"/>
        <v>1.1440556773762989E-3</v>
      </c>
      <c r="V279" s="1">
        <f t="shared" si="68"/>
        <v>0</v>
      </c>
      <c r="W279" s="1">
        <f t="shared" si="69"/>
        <v>0</v>
      </c>
      <c r="X279" s="1">
        <f t="shared" si="70"/>
        <v>0</v>
      </c>
      <c r="Y279" s="1">
        <f t="shared" si="71"/>
        <v>0</v>
      </c>
      <c r="Z279" s="1">
        <f t="shared" si="62"/>
        <v>5.328867235079172E-4</v>
      </c>
      <c r="AA279" s="1">
        <f t="shared" si="58"/>
        <v>1.3268908194176703E-3</v>
      </c>
      <c r="AB279" s="1">
        <f t="shared" si="59"/>
        <v>0</v>
      </c>
      <c r="AC279" s="1">
        <f t="shared" si="60"/>
        <v>2.8444107329098322E-4</v>
      </c>
      <c r="AD279" s="1" t="str">
        <f t="shared" si="63"/>
        <v>BS AUTOMOBILE SARL</v>
      </c>
      <c r="AE279" s="1" t="str">
        <f t="shared" si="64"/>
        <v>63348</v>
      </c>
      <c r="AF279" s="3">
        <f>Q279*Feuil2!$B$3</f>
        <v>0</v>
      </c>
      <c r="AG279" s="3">
        <f>R279*Feuil2!$C$3</f>
        <v>0</v>
      </c>
      <c r="AH279" s="3">
        <f>S279*Feuil2!$D$3</f>
        <v>0</v>
      </c>
      <c r="AI279" s="3">
        <f>T279*Feuil2!$E$2</f>
        <v>15.051600208810184</v>
      </c>
      <c r="AJ279" s="3">
        <f>U279*Feuil2!$F$3</f>
        <v>29.228792067880637</v>
      </c>
      <c r="AK279" s="3">
        <f>V279*Feuil2!$G$3</f>
        <v>0</v>
      </c>
      <c r="AL279" s="3">
        <f>W279*Feuil2!$H$3</f>
        <v>0</v>
      </c>
      <c r="AM279" s="3">
        <f>X279*Feuil2!$I$2</f>
        <v>0</v>
      </c>
      <c r="AN279" s="3">
        <f>Y279*Feuil2!$J$3</f>
        <v>0</v>
      </c>
      <c r="AO279" s="3">
        <f>Z279*Feuil2!$K$3</f>
        <v>21.468791108404385</v>
      </c>
      <c r="AP279" s="3">
        <f>AA279*Feuil2!$L$3</f>
        <v>48.242406429161562</v>
      </c>
      <c r="AQ279" s="3">
        <f>AB279*Feuil2!$M$3</f>
        <v>0</v>
      </c>
      <c r="AR279" s="3">
        <f>AC279*Feuil2!$N$3</f>
        <v>119.09163174362379</v>
      </c>
    </row>
    <row r="280" spans="1:44" x14ac:dyDescent="0.35">
      <c r="A280" t="s">
        <v>557</v>
      </c>
      <c r="B280" t="s">
        <v>558</v>
      </c>
      <c r="C280">
        <v>0</v>
      </c>
      <c r="D280">
        <v>0</v>
      </c>
      <c r="E280">
        <v>29</v>
      </c>
      <c r="F280">
        <v>58</v>
      </c>
      <c r="G280">
        <v>0</v>
      </c>
      <c r="H280">
        <v>21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108</v>
      </c>
      <c r="Q280" s="1">
        <f>C280/$C$434</f>
        <v>0</v>
      </c>
      <c r="R280" s="1">
        <f t="shared" si="61"/>
        <v>0</v>
      </c>
      <c r="S280" s="1">
        <f t="shared" si="65"/>
        <v>9.8441902304898334E-4</v>
      </c>
      <c r="T280" s="1">
        <f t="shared" si="66"/>
        <v>2.3290366622495283E-3</v>
      </c>
      <c r="U280" s="1">
        <f t="shared" si="67"/>
        <v>0</v>
      </c>
      <c r="V280" s="1">
        <f t="shared" si="68"/>
        <v>7.0297593144310916E-4</v>
      </c>
      <c r="W280" s="1">
        <f t="shared" si="69"/>
        <v>0</v>
      </c>
      <c r="X280" s="1">
        <f t="shared" si="70"/>
        <v>0</v>
      </c>
      <c r="Y280" s="1">
        <f t="shared" si="71"/>
        <v>0</v>
      </c>
      <c r="Z280" s="1">
        <f t="shared" si="62"/>
        <v>0</v>
      </c>
      <c r="AA280" s="1">
        <f t="shared" si="58"/>
        <v>0</v>
      </c>
      <c r="AB280" s="1">
        <f t="shared" si="59"/>
        <v>0</v>
      </c>
      <c r="AC280" s="1">
        <f t="shared" si="60"/>
        <v>2.8444107329098322E-4</v>
      </c>
      <c r="AD280" s="1" t="str">
        <f t="shared" si="63"/>
        <v>GARAGE SAS JOSSE</v>
      </c>
      <c r="AE280" s="1" t="str">
        <f t="shared" si="64"/>
        <v>1819</v>
      </c>
      <c r="AF280" s="3">
        <f>Q280*Feuil2!$B$3</f>
        <v>0</v>
      </c>
      <c r="AG280" s="3">
        <f>R280*Feuil2!$C$3</f>
        <v>0</v>
      </c>
      <c r="AH280" s="3">
        <f>S280*Feuil2!$D$3</f>
        <v>38.685501883974339</v>
      </c>
      <c r="AI280" s="3">
        <f>T280*Feuil2!$E$2</f>
        <v>87.299281211099071</v>
      </c>
      <c r="AJ280" s="3">
        <f>U280*Feuil2!$F$3</f>
        <v>0</v>
      </c>
      <c r="AK280" s="3">
        <f>V280*Feuil2!$G$3</f>
        <v>28.321297492719179</v>
      </c>
      <c r="AL280" s="3">
        <f>W280*Feuil2!$H$3</f>
        <v>0</v>
      </c>
      <c r="AM280" s="3">
        <f>X280*Feuil2!$I$2</f>
        <v>0</v>
      </c>
      <c r="AN280" s="3">
        <f>Y280*Feuil2!$J$3</f>
        <v>0</v>
      </c>
      <c r="AO280" s="3">
        <f>Z280*Feuil2!$K$3</f>
        <v>0</v>
      </c>
      <c r="AP280" s="3">
        <f>AA280*Feuil2!$L$3</f>
        <v>0</v>
      </c>
      <c r="AQ280" s="3">
        <f>AB280*Feuil2!$M$3</f>
        <v>0</v>
      </c>
      <c r="AR280" s="3">
        <f>AC280*Feuil2!$N$3</f>
        <v>119.09163174362379</v>
      </c>
    </row>
    <row r="281" spans="1:44" x14ac:dyDescent="0.35">
      <c r="A281" t="s">
        <v>559</v>
      </c>
      <c r="B281" t="s">
        <v>560</v>
      </c>
      <c r="C281">
        <v>0</v>
      </c>
      <c r="D281">
        <v>0</v>
      </c>
      <c r="E281">
        <v>39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68</v>
      </c>
      <c r="N281">
        <v>0</v>
      </c>
      <c r="O281">
        <v>107</v>
      </c>
      <c r="Q281" s="1">
        <f>C281/$C$434</f>
        <v>0</v>
      </c>
      <c r="R281" s="1">
        <f t="shared" si="61"/>
        <v>0</v>
      </c>
      <c r="S281" s="1">
        <f t="shared" si="65"/>
        <v>1.3238738585831156E-3</v>
      </c>
      <c r="T281" s="1">
        <f t="shared" si="66"/>
        <v>0</v>
      </c>
      <c r="U281" s="1">
        <f t="shared" si="67"/>
        <v>0</v>
      </c>
      <c r="V281" s="1">
        <f t="shared" si="68"/>
        <v>0</v>
      </c>
      <c r="W281" s="1">
        <f t="shared" si="69"/>
        <v>0</v>
      </c>
      <c r="X281" s="1">
        <f t="shared" si="70"/>
        <v>0</v>
      </c>
      <c r="Y281" s="1">
        <f t="shared" si="71"/>
        <v>0</v>
      </c>
      <c r="Z281" s="1">
        <f t="shared" si="62"/>
        <v>0</v>
      </c>
      <c r="AA281" s="1">
        <f t="shared" si="58"/>
        <v>1.702425956988709E-3</v>
      </c>
      <c r="AB281" s="1">
        <f t="shared" si="59"/>
        <v>0</v>
      </c>
      <c r="AC281" s="1">
        <f t="shared" si="60"/>
        <v>2.8180735964940002E-4</v>
      </c>
      <c r="AD281" s="1" t="str">
        <f t="shared" si="63"/>
        <v>D ARGENCES</v>
      </c>
      <c r="AE281" s="1" t="str">
        <f t="shared" si="64"/>
        <v>3732</v>
      </c>
      <c r="AF281" s="3">
        <f>Q281*Feuil2!$B$3</f>
        <v>0</v>
      </c>
      <c r="AG281" s="3">
        <f>R281*Feuil2!$C$3</f>
        <v>0</v>
      </c>
      <c r="AH281" s="3">
        <f>S281*Feuil2!$D$3</f>
        <v>52.025330119827565</v>
      </c>
      <c r="AI281" s="3">
        <f>T281*Feuil2!$E$2</f>
        <v>0</v>
      </c>
      <c r="AJ281" s="3">
        <f>U281*Feuil2!$F$3</f>
        <v>0</v>
      </c>
      <c r="AK281" s="3">
        <f>V281*Feuil2!$G$3</f>
        <v>0</v>
      </c>
      <c r="AL281" s="3">
        <f>W281*Feuil2!$H$3</f>
        <v>0</v>
      </c>
      <c r="AM281" s="3">
        <f>X281*Feuil2!$I$2</f>
        <v>0</v>
      </c>
      <c r="AN281" s="3">
        <f>Y281*Feuil2!$J$3</f>
        <v>0</v>
      </c>
      <c r="AO281" s="3">
        <f>Z281*Feuil2!$K$3</f>
        <v>0</v>
      </c>
      <c r="AP281" s="3">
        <f>AA281*Feuil2!$L$3</f>
        <v>61.895917682697856</v>
      </c>
      <c r="AQ281" s="3">
        <f>AB281*Feuil2!$M$3</f>
        <v>0</v>
      </c>
      <c r="AR281" s="3">
        <f>AC281*Feuil2!$N$3</f>
        <v>117.98893144970134</v>
      </c>
    </row>
    <row r="282" spans="1:44" x14ac:dyDescent="0.35">
      <c r="A282" t="s">
        <v>561</v>
      </c>
      <c r="B282" t="s">
        <v>562</v>
      </c>
      <c r="C282">
        <v>0</v>
      </c>
      <c r="D282">
        <v>0</v>
      </c>
      <c r="E282">
        <v>0</v>
      </c>
      <c r="F282">
        <v>0</v>
      </c>
      <c r="G282">
        <v>40</v>
      </c>
      <c r="H282">
        <v>66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106</v>
      </c>
      <c r="Q282" s="1">
        <f>C282/$C$434</f>
        <v>0</v>
      </c>
      <c r="R282" s="1">
        <f t="shared" si="61"/>
        <v>0</v>
      </c>
      <c r="S282" s="1">
        <f t="shared" si="65"/>
        <v>0</v>
      </c>
      <c r="T282" s="1">
        <f t="shared" si="66"/>
        <v>0</v>
      </c>
      <c r="U282" s="1">
        <f t="shared" si="67"/>
        <v>1.9067594622938315E-3</v>
      </c>
      <c r="V282" s="1">
        <f t="shared" si="68"/>
        <v>2.2093529273926288E-3</v>
      </c>
      <c r="W282" s="1">
        <f t="shared" si="69"/>
        <v>0</v>
      </c>
      <c r="X282" s="1">
        <f t="shared" si="70"/>
        <v>0</v>
      </c>
      <c r="Y282" s="1">
        <f t="shared" si="71"/>
        <v>0</v>
      </c>
      <c r="Z282" s="1">
        <f t="shared" si="62"/>
        <v>0</v>
      </c>
      <c r="AA282" s="1">
        <f t="shared" si="58"/>
        <v>0</v>
      </c>
      <c r="AB282" s="1">
        <f t="shared" si="59"/>
        <v>0</v>
      </c>
      <c r="AC282" s="1">
        <f t="shared" si="60"/>
        <v>2.7917364600781687E-4</v>
      </c>
      <c r="AD282" s="1" t="str">
        <f t="shared" si="63"/>
        <v>GARAGE RAMIRO</v>
      </c>
      <c r="AE282" s="1" t="str">
        <f t="shared" si="64"/>
        <v>6210</v>
      </c>
      <c r="AF282" s="3">
        <f>Q282*Feuil2!$B$3</f>
        <v>0</v>
      </c>
      <c r="AG282" s="3">
        <f>R282*Feuil2!$C$3</f>
        <v>0</v>
      </c>
      <c r="AH282" s="3">
        <f>S282*Feuil2!$D$3</f>
        <v>0</v>
      </c>
      <c r="AI282" s="3">
        <f>T282*Feuil2!$E$2</f>
        <v>0</v>
      </c>
      <c r="AJ282" s="3">
        <f>U282*Feuil2!$F$3</f>
        <v>48.714653446467729</v>
      </c>
      <c r="AK282" s="3">
        <f>V282*Feuil2!$G$3</f>
        <v>89.009792119974563</v>
      </c>
      <c r="AL282" s="3">
        <f>W282*Feuil2!$H$3</f>
        <v>0</v>
      </c>
      <c r="AM282" s="3">
        <f>X282*Feuil2!$I$2</f>
        <v>0</v>
      </c>
      <c r="AN282" s="3">
        <f>Y282*Feuil2!$J$3</f>
        <v>0</v>
      </c>
      <c r="AO282" s="3">
        <f>Z282*Feuil2!$K$3</f>
        <v>0</v>
      </c>
      <c r="AP282" s="3">
        <f>AA282*Feuil2!$L$3</f>
        <v>0</v>
      </c>
      <c r="AQ282" s="3">
        <f>AB282*Feuil2!$M$3</f>
        <v>0</v>
      </c>
      <c r="AR282" s="3">
        <f>AC282*Feuil2!$N$3</f>
        <v>116.8862311557789</v>
      </c>
    </row>
    <row r="283" spans="1:44" x14ac:dyDescent="0.35">
      <c r="A283" t="s">
        <v>563</v>
      </c>
      <c r="B283" t="s">
        <v>564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59</v>
      </c>
      <c r="J283">
        <v>0</v>
      </c>
      <c r="K283">
        <v>44</v>
      </c>
      <c r="L283">
        <v>0</v>
      </c>
      <c r="M283">
        <v>0</v>
      </c>
      <c r="N283">
        <v>0</v>
      </c>
      <c r="O283">
        <v>103</v>
      </c>
      <c r="Q283" s="1">
        <f>C283/$C$434</f>
        <v>0</v>
      </c>
      <c r="R283" s="1">
        <f t="shared" si="61"/>
        <v>0</v>
      </c>
      <c r="S283" s="1">
        <f t="shared" si="65"/>
        <v>0</v>
      </c>
      <c r="T283" s="1">
        <f t="shared" si="66"/>
        <v>0</v>
      </c>
      <c r="U283" s="1">
        <f t="shared" si="67"/>
        <v>0</v>
      </c>
      <c r="V283" s="1">
        <f t="shared" si="68"/>
        <v>0</v>
      </c>
      <c r="W283" s="1">
        <f t="shared" si="69"/>
        <v>1.3211518652872945E-3</v>
      </c>
      <c r="X283" s="1">
        <f t="shared" si="70"/>
        <v>0</v>
      </c>
      <c r="Y283" s="1">
        <f t="shared" si="71"/>
        <v>1.126097305044404E-3</v>
      </c>
      <c r="Z283" s="1">
        <f t="shared" si="62"/>
        <v>0</v>
      </c>
      <c r="AA283" s="1">
        <f t="shared" si="58"/>
        <v>0</v>
      </c>
      <c r="AB283" s="1">
        <f t="shared" si="59"/>
        <v>0</v>
      </c>
      <c r="AC283" s="1">
        <f t="shared" si="60"/>
        <v>2.712725050830673E-4</v>
      </c>
      <c r="AD283" s="1" t="str">
        <f t="shared" si="63"/>
        <v>DRIJARD</v>
      </c>
      <c r="AE283" s="1" t="str">
        <f t="shared" si="64"/>
        <v>5161</v>
      </c>
      <c r="AF283" s="3">
        <f>Q283*Feuil2!$B$3</f>
        <v>0</v>
      </c>
      <c r="AG283" s="3">
        <f>R283*Feuil2!$C$3</f>
        <v>0</v>
      </c>
      <c r="AH283" s="3">
        <f>S283*Feuil2!$D$3</f>
        <v>0</v>
      </c>
      <c r="AI283" s="3">
        <f>T283*Feuil2!$E$2</f>
        <v>0</v>
      </c>
      <c r="AJ283" s="3">
        <f>U283*Feuil2!$F$3</f>
        <v>0</v>
      </c>
      <c r="AK283" s="3">
        <f>V283*Feuil2!$G$3</f>
        <v>0</v>
      </c>
      <c r="AL283" s="3">
        <f>W283*Feuil2!$H$3</f>
        <v>48.033752519145509</v>
      </c>
      <c r="AM283" s="3">
        <f>X283*Feuil2!$I$2</f>
        <v>0</v>
      </c>
      <c r="AN283" s="3">
        <f>Y283*Feuil2!$J$3</f>
        <v>47.580809254472399</v>
      </c>
      <c r="AO283" s="3">
        <f>Z283*Feuil2!$K$3</f>
        <v>0</v>
      </c>
      <c r="AP283" s="3">
        <f>AA283*Feuil2!$L$3</f>
        <v>0</v>
      </c>
      <c r="AQ283" s="3">
        <f>AB283*Feuil2!$M$3</f>
        <v>0</v>
      </c>
      <c r="AR283" s="3">
        <f>AC283*Feuil2!$N$3</f>
        <v>113.57813027401157</v>
      </c>
    </row>
    <row r="284" spans="1:44" x14ac:dyDescent="0.35">
      <c r="A284" t="s">
        <v>565</v>
      </c>
      <c r="B284" t="s">
        <v>566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98</v>
      </c>
      <c r="L284">
        <v>0</v>
      </c>
      <c r="M284">
        <v>0</v>
      </c>
      <c r="N284">
        <v>0</v>
      </c>
      <c r="O284">
        <v>98</v>
      </c>
      <c r="Q284" s="1">
        <f>C284/$C$434</f>
        <v>0</v>
      </c>
      <c r="R284" s="1">
        <f t="shared" si="61"/>
        <v>0</v>
      </c>
      <c r="S284" s="1">
        <f t="shared" si="65"/>
        <v>0</v>
      </c>
      <c r="T284" s="1">
        <f t="shared" si="66"/>
        <v>0</v>
      </c>
      <c r="U284" s="1">
        <f t="shared" si="67"/>
        <v>0</v>
      </c>
      <c r="V284" s="1">
        <f t="shared" si="68"/>
        <v>0</v>
      </c>
      <c r="W284" s="1">
        <f t="shared" si="69"/>
        <v>0</v>
      </c>
      <c r="X284" s="1">
        <f t="shared" si="70"/>
        <v>0</v>
      </c>
      <c r="Y284" s="1">
        <f t="shared" si="71"/>
        <v>2.5081258157807181E-3</v>
      </c>
      <c r="Z284" s="1">
        <f t="shared" si="62"/>
        <v>0</v>
      </c>
      <c r="AA284" s="1">
        <f t="shared" si="58"/>
        <v>0</v>
      </c>
      <c r="AB284" s="1">
        <f t="shared" si="59"/>
        <v>0</v>
      </c>
      <c r="AC284" s="1">
        <f t="shared" si="60"/>
        <v>2.5810393687515144E-4</v>
      </c>
      <c r="AD284" s="1" t="str">
        <f t="shared" si="63"/>
        <v>VR AUTO</v>
      </c>
      <c r="AE284" s="1" t="str">
        <f t="shared" si="64"/>
        <v>403333</v>
      </c>
      <c r="AF284" s="3">
        <f>Q284*Feuil2!$B$3</f>
        <v>0</v>
      </c>
      <c r="AG284" s="3">
        <f>R284*Feuil2!$C$3</f>
        <v>0</v>
      </c>
      <c r="AH284" s="3">
        <f>S284*Feuil2!$D$3</f>
        <v>0</v>
      </c>
      <c r="AI284" s="3">
        <f>T284*Feuil2!$E$2</f>
        <v>0</v>
      </c>
      <c r="AJ284" s="3">
        <f>U284*Feuil2!$F$3</f>
        <v>0</v>
      </c>
      <c r="AK284" s="3">
        <f>V284*Feuil2!$G$3</f>
        <v>0</v>
      </c>
      <c r="AL284" s="3">
        <f>W284*Feuil2!$H$3</f>
        <v>0</v>
      </c>
      <c r="AM284" s="3">
        <f>X284*Feuil2!$I$2</f>
        <v>0</v>
      </c>
      <c r="AN284" s="3">
        <f>Y284*Feuil2!$J$3</f>
        <v>105.97543879405217</v>
      </c>
      <c r="AO284" s="3">
        <f>Z284*Feuil2!$K$3</f>
        <v>0</v>
      </c>
      <c r="AP284" s="3">
        <f>AA284*Feuil2!$L$3</f>
        <v>0</v>
      </c>
      <c r="AQ284" s="3">
        <f>AB284*Feuil2!$M$3</f>
        <v>0</v>
      </c>
      <c r="AR284" s="3">
        <f>AC284*Feuil2!$N$3</f>
        <v>108.06462880439936</v>
      </c>
    </row>
    <row r="285" spans="1:44" x14ac:dyDescent="0.35">
      <c r="A285" t="s">
        <v>567</v>
      </c>
      <c r="B285" t="s">
        <v>568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97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97</v>
      </c>
      <c r="Q285" s="1">
        <f>C285/$C$434</f>
        <v>0</v>
      </c>
      <c r="R285" s="1">
        <f t="shared" si="61"/>
        <v>0</v>
      </c>
      <c r="S285" s="1">
        <f t="shared" si="65"/>
        <v>0</v>
      </c>
      <c r="T285" s="1">
        <f t="shared" si="66"/>
        <v>0</v>
      </c>
      <c r="U285" s="1">
        <f t="shared" si="67"/>
        <v>0</v>
      </c>
      <c r="V285" s="1">
        <f t="shared" si="68"/>
        <v>0</v>
      </c>
      <c r="W285" s="1">
        <f t="shared" si="69"/>
        <v>2.1720632361502978E-3</v>
      </c>
      <c r="X285" s="1">
        <f t="shared" si="70"/>
        <v>0</v>
      </c>
      <c r="Y285" s="1">
        <f t="shared" si="71"/>
        <v>0</v>
      </c>
      <c r="Z285" s="1">
        <f t="shared" si="62"/>
        <v>0</v>
      </c>
      <c r="AA285" s="1">
        <f t="shared" si="58"/>
        <v>0</v>
      </c>
      <c r="AB285" s="1">
        <f t="shared" si="59"/>
        <v>0</v>
      </c>
      <c r="AC285" s="1">
        <f t="shared" si="60"/>
        <v>2.5547022323356829E-4</v>
      </c>
      <c r="AD285" s="1" t="str">
        <f t="shared" si="63"/>
        <v>BRILAN</v>
      </c>
      <c r="AE285" s="1" t="str">
        <f t="shared" si="64"/>
        <v>5388</v>
      </c>
      <c r="AF285" s="3">
        <f>Q285*Feuil2!$B$3</f>
        <v>0</v>
      </c>
      <c r="AG285" s="3">
        <f>R285*Feuil2!$C$3</f>
        <v>0</v>
      </c>
      <c r="AH285" s="3">
        <f>S285*Feuil2!$D$3</f>
        <v>0</v>
      </c>
      <c r="AI285" s="3">
        <f>T285*Feuil2!$E$2</f>
        <v>0</v>
      </c>
      <c r="AJ285" s="3">
        <f>U285*Feuil2!$F$3</f>
        <v>0</v>
      </c>
      <c r="AK285" s="3">
        <f>V285*Feuil2!$G$3</f>
        <v>0</v>
      </c>
      <c r="AL285" s="3">
        <f>W285*Feuil2!$H$3</f>
        <v>78.970745667069735</v>
      </c>
      <c r="AM285" s="3">
        <f>X285*Feuil2!$I$2</f>
        <v>0</v>
      </c>
      <c r="AN285" s="3">
        <f>Y285*Feuil2!$J$3</f>
        <v>0</v>
      </c>
      <c r="AO285" s="3">
        <f>Z285*Feuil2!$K$3</f>
        <v>0</v>
      </c>
      <c r="AP285" s="3">
        <f>AA285*Feuil2!$L$3</f>
        <v>0</v>
      </c>
      <c r="AQ285" s="3">
        <f>AB285*Feuil2!$M$3</f>
        <v>0</v>
      </c>
      <c r="AR285" s="3">
        <f>AC285*Feuil2!$N$3</f>
        <v>106.96192851047694</v>
      </c>
    </row>
    <row r="286" spans="1:44" x14ac:dyDescent="0.35">
      <c r="A286" t="s">
        <v>569</v>
      </c>
      <c r="B286" t="s">
        <v>570</v>
      </c>
      <c r="C286">
        <v>20</v>
      </c>
      <c r="D286">
        <v>0</v>
      </c>
      <c r="E286">
        <v>22</v>
      </c>
      <c r="F286">
        <v>0</v>
      </c>
      <c r="G286">
        <v>10</v>
      </c>
      <c r="H286">
        <v>24</v>
      </c>
      <c r="I286">
        <v>0</v>
      </c>
      <c r="J286">
        <v>0</v>
      </c>
      <c r="K286">
        <v>0</v>
      </c>
      <c r="L286">
        <v>20</v>
      </c>
      <c r="M286">
        <v>0</v>
      </c>
      <c r="N286">
        <v>0</v>
      </c>
      <c r="O286">
        <v>96</v>
      </c>
      <c r="Q286" s="1">
        <f>C286/$C$434</f>
        <v>4.937174455059369E-4</v>
      </c>
      <c r="R286" s="1">
        <f t="shared" si="61"/>
        <v>0</v>
      </c>
      <c r="S286" s="1">
        <f t="shared" si="65"/>
        <v>7.4680063817509084E-4</v>
      </c>
      <c r="T286" s="1">
        <f t="shared" si="66"/>
        <v>0</v>
      </c>
      <c r="U286" s="1">
        <f t="shared" si="67"/>
        <v>4.7668986557345788E-4</v>
      </c>
      <c r="V286" s="1">
        <f t="shared" si="68"/>
        <v>8.0340106450641044E-4</v>
      </c>
      <c r="W286" s="1">
        <f t="shared" si="69"/>
        <v>0</v>
      </c>
      <c r="X286" s="1">
        <f t="shared" si="70"/>
        <v>0</v>
      </c>
      <c r="Y286" s="1">
        <f t="shared" si="71"/>
        <v>0</v>
      </c>
      <c r="Z286" s="1">
        <f t="shared" si="62"/>
        <v>5.0751116524563541E-4</v>
      </c>
      <c r="AA286" s="1">
        <f t="shared" si="58"/>
        <v>0</v>
      </c>
      <c r="AB286" s="1">
        <f t="shared" si="59"/>
        <v>0</v>
      </c>
      <c r="AC286" s="1">
        <f t="shared" si="60"/>
        <v>2.5283650959198508E-4</v>
      </c>
      <c r="AD286" s="1" t="str">
        <f t="shared" si="63"/>
        <v>A.A.A.</v>
      </c>
      <c r="AE286" s="1" t="str">
        <f t="shared" si="64"/>
        <v>3734</v>
      </c>
      <c r="AF286" s="3">
        <f>Q286*Feuil2!$B$3</f>
        <v>17.465215137376877</v>
      </c>
      <c r="AG286" s="3">
        <f>R286*Feuil2!$C$3</f>
        <v>0</v>
      </c>
      <c r="AH286" s="3">
        <f>S286*Feuil2!$D$3</f>
        <v>29.347622118877087</v>
      </c>
      <c r="AI286" s="3">
        <f>T286*Feuil2!$E$2</f>
        <v>0</v>
      </c>
      <c r="AJ286" s="3">
        <f>U286*Feuil2!$F$3</f>
        <v>12.178663361616932</v>
      </c>
      <c r="AK286" s="3">
        <f>V286*Feuil2!$G$3</f>
        <v>32.367197134536205</v>
      </c>
      <c r="AL286" s="3">
        <f>W286*Feuil2!$H$3</f>
        <v>0</v>
      </c>
      <c r="AM286" s="3">
        <f>X286*Feuil2!$I$2</f>
        <v>0</v>
      </c>
      <c r="AN286" s="3">
        <f>Y286*Feuil2!$J$3</f>
        <v>0</v>
      </c>
      <c r="AO286" s="3">
        <f>Z286*Feuil2!$K$3</f>
        <v>20.446467722289892</v>
      </c>
      <c r="AP286" s="3">
        <f>AA286*Feuil2!$L$3</f>
        <v>0</v>
      </c>
      <c r="AQ286" s="3">
        <f>AB286*Feuil2!$M$3</f>
        <v>0</v>
      </c>
      <c r="AR286" s="3">
        <f>AC286*Feuil2!$N$3</f>
        <v>105.85922821655448</v>
      </c>
    </row>
    <row r="287" spans="1:44" x14ac:dyDescent="0.35">
      <c r="A287" t="s">
        <v>571</v>
      </c>
      <c r="B287" t="s">
        <v>572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96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96</v>
      </c>
      <c r="Q287" s="1">
        <f>C287/$C$434</f>
        <v>0</v>
      </c>
      <c r="R287" s="1">
        <f t="shared" si="61"/>
        <v>0</v>
      </c>
      <c r="S287" s="1">
        <f t="shared" si="65"/>
        <v>0</v>
      </c>
      <c r="T287" s="1">
        <f t="shared" si="66"/>
        <v>0</v>
      </c>
      <c r="U287" s="1">
        <f t="shared" si="67"/>
        <v>0</v>
      </c>
      <c r="V287" s="1">
        <f t="shared" si="68"/>
        <v>0</v>
      </c>
      <c r="W287" s="1">
        <f t="shared" si="69"/>
        <v>2.1496708316539031E-3</v>
      </c>
      <c r="X287" s="1">
        <f t="shared" si="70"/>
        <v>0</v>
      </c>
      <c r="Y287" s="1">
        <f t="shared" si="71"/>
        <v>0</v>
      </c>
      <c r="Z287" s="1">
        <f t="shared" si="62"/>
        <v>0</v>
      </c>
      <c r="AA287" s="1">
        <f t="shared" si="58"/>
        <v>0</v>
      </c>
      <c r="AB287" s="1">
        <f t="shared" si="59"/>
        <v>0</v>
      </c>
      <c r="AC287" s="1">
        <f t="shared" si="60"/>
        <v>2.5283650959198508E-4</v>
      </c>
      <c r="AD287" s="1" t="str">
        <f t="shared" si="63"/>
        <v>CENTRE AUTO EXPERT PETRUVIEN</v>
      </c>
      <c r="AE287" s="1" t="str">
        <f t="shared" si="64"/>
        <v>5203</v>
      </c>
      <c r="AF287" s="3">
        <f>Q287*Feuil2!$B$3</f>
        <v>0</v>
      </c>
      <c r="AG287" s="3">
        <f>R287*Feuil2!$C$3</f>
        <v>0</v>
      </c>
      <c r="AH287" s="3">
        <f>S287*Feuil2!$D$3</f>
        <v>0</v>
      </c>
      <c r="AI287" s="3">
        <f>T287*Feuil2!$E$2</f>
        <v>0</v>
      </c>
      <c r="AJ287" s="3">
        <f>U287*Feuil2!$F$3</f>
        <v>0</v>
      </c>
      <c r="AK287" s="3">
        <f>V287*Feuil2!$G$3</f>
        <v>0</v>
      </c>
      <c r="AL287" s="3">
        <f>W287*Feuil2!$H$3</f>
        <v>78.156614268440151</v>
      </c>
      <c r="AM287" s="3">
        <f>X287*Feuil2!$I$2</f>
        <v>0</v>
      </c>
      <c r="AN287" s="3">
        <f>Y287*Feuil2!$J$3</f>
        <v>0</v>
      </c>
      <c r="AO287" s="3">
        <f>Z287*Feuil2!$K$3</f>
        <v>0</v>
      </c>
      <c r="AP287" s="3">
        <f>AA287*Feuil2!$L$3</f>
        <v>0</v>
      </c>
      <c r="AQ287" s="3">
        <f>AB287*Feuil2!$M$3</f>
        <v>0</v>
      </c>
      <c r="AR287" s="3">
        <f>AC287*Feuil2!$N$3</f>
        <v>105.85922821655448</v>
      </c>
    </row>
    <row r="288" spans="1:44" x14ac:dyDescent="0.35">
      <c r="A288" t="s">
        <v>573</v>
      </c>
      <c r="B288" t="s">
        <v>574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96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96</v>
      </c>
      <c r="Q288" s="1">
        <f>C288/$C$434</f>
        <v>0</v>
      </c>
      <c r="R288" s="1">
        <f t="shared" si="61"/>
        <v>0</v>
      </c>
      <c r="S288" s="1">
        <f t="shared" si="65"/>
        <v>0</v>
      </c>
      <c r="T288" s="1">
        <f t="shared" si="66"/>
        <v>0</v>
      </c>
      <c r="U288" s="1">
        <f t="shared" si="67"/>
        <v>0</v>
      </c>
      <c r="V288" s="1">
        <f t="shared" si="68"/>
        <v>0</v>
      </c>
      <c r="W288" s="1">
        <f t="shared" si="69"/>
        <v>2.1496708316539031E-3</v>
      </c>
      <c r="X288" s="1">
        <f t="shared" si="70"/>
        <v>0</v>
      </c>
      <c r="Y288" s="1">
        <f t="shared" si="71"/>
        <v>0</v>
      </c>
      <c r="Z288" s="1">
        <f t="shared" si="62"/>
        <v>0</v>
      </c>
      <c r="AA288" s="1">
        <f t="shared" si="58"/>
        <v>0</v>
      </c>
      <c r="AB288" s="1">
        <f t="shared" si="59"/>
        <v>0</v>
      </c>
      <c r="AC288" s="1">
        <f t="shared" si="60"/>
        <v>2.5283650959198508E-4</v>
      </c>
      <c r="AD288" s="1" t="str">
        <f t="shared" si="63"/>
        <v>CREVON ERIC</v>
      </c>
      <c r="AE288" s="1" t="str">
        <f t="shared" si="64"/>
        <v>3788</v>
      </c>
      <c r="AF288" s="3">
        <f>Q288*Feuil2!$B$3</f>
        <v>0</v>
      </c>
      <c r="AG288" s="3">
        <f>R288*Feuil2!$C$3</f>
        <v>0</v>
      </c>
      <c r="AH288" s="3">
        <f>S288*Feuil2!$D$3</f>
        <v>0</v>
      </c>
      <c r="AI288" s="3">
        <f>T288*Feuil2!$E$2</f>
        <v>0</v>
      </c>
      <c r="AJ288" s="3">
        <f>U288*Feuil2!$F$3</f>
        <v>0</v>
      </c>
      <c r="AK288" s="3">
        <f>V288*Feuil2!$G$3</f>
        <v>0</v>
      </c>
      <c r="AL288" s="3">
        <f>W288*Feuil2!$H$3</f>
        <v>78.156614268440151</v>
      </c>
      <c r="AM288" s="3">
        <f>X288*Feuil2!$I$2</f>
        <v>0</v>
      </c>
      <c r="AN288" s="3">
        <f>Y288*Feuil2!$J$3</f>
        <v>0</v>
      </c>
      <c r="AO288" s="3">
        <f>Z288*Feuil2!$K$3</f>
        <v>0</v>
      </c>
      <c r="AP288" s="3">
        <f>AA288*Feuil2!$L$3</f>
        <v>0</v>
      </c>
      <c r="AQ288" s="3">
        <f>AB288*Feuil2!$M$3</f>
        <v>0</v>
      </c>
      <c r="AR288" s="3">
        <f>AC288*Feuil2!$N$3</f>
        <v>105.85922821655448</v>
      </c>
    </row>
    <row r="289" spans="1:44" x14ac:dyDescent="0.35">
      <c r="A289" t="s">
        <v>575</v>
      </c>
      <c r="B289" t="s">
        <v>576</v>
      </c>
      <c r="C289">
        <v>0</v>
      </c>
      <c r="D289">
        <v>0</v>
      </c>
      <c r="E289">
        <v>0</v>
      </c>
      <c r="F289">
        <v>0</v>
      </c>
      <c r="G289">
        <v>20</v>
      </c>
      <c r="H289">
        <v>0</v>
      </c>
      <c r="I289">
        <v>48</v>
      </c>
      <c r="J289">
        <v>0</v>
      </c>
      <c r="K289">
        <v>28</v>
      </c>
      <c r="L289">
        <v>0</v>
      </c>
      <c r="M289">
        <v>0</v>
      </c>
      <c r="N289">
        <v>0</v>
      </c>
      <c r="O289">
        <v>96</v>
      </c>
      <c r="Q289" s="1">
        <f>C289/$C$434</f>
        <v>0</v>
      </c>
      <c r="R289" s="1">
        <f t="shared" si="61"/>
        <v>0</v>
      </c>
      <c r="S289" s="1">
        <f t="shared" si="65"/>
        <v>0</v>
      </c>
      <c r="T289" s="1">
        <f t="shared" si="66"/>
        <v>0</v>
      </c>
      <c r="U289" s="1">
        <f t="shared" si="67"/>
        <v>9.5337973114691576E-4</v>
      </c>
      <c r="V289" s="1">
        <f t="shared" si="68"/>
        <v>0</v>
      </c>
      <c r="W289" s="1">
        <f t="shared" si="69"/>
        <v>1.0748354158269515E-3</v>
      </c>
      <c r="X289" s="1">
        <f t="shared" si="70"/>
        <v>0</v>
      </c>
      <c r="Y289" s="1">
        <f t="shared" si="71"/>
        <v>7.1660737593734806E-4</v>
      </c>
      <c r="Z289" s="1">
        <f t="shared" si="62"/>
        <v>0</v>
      </c>
      <c r="AA289" s="1">
        <f t="shared" si="58"/>
        <v>0</v>
      </c>
      <c r="AB289" s="1">
        <f t="shared" si="59"/>
        <v>0</v>
      </c>
      <c r="AC289" s="1">
        <f t="shared" si="60"/>
        <v>2.5283650959198508E-4</v>
      </c>
      <c r="AD289" s="1" t="str">
        <f t="shared" si="63"/>
        <v>DELAUNE AUTOMOBILE EIRL</v>
      </c>
      <c r="AE289" s="1" t="str">
        <f t="shared" si="64"/>
        <v>3293</v>
      </c>
      <c r="AF289" s="3">
        <f>Q289*Feuil2!$B$3</f>
        <v>0</v>
      </c>
      <c r="AG289" s="3">
        <f>R289*Feuil2!$C$3</f>
        <v>0</v>
      </c>
      <c r="AH289" s="3">
        <f>S289*Feuil2!$D$3</f>
        <v>0</v>
      </c>
      <c r="AI289" s="3">
        <f>T289*Feuil2!$E$2</f>
        <v>0</v>
      </c>
      <c r="AJ289" s="3">
        <f>U289*Feuil2!$F$3</f>
        <v>24.357326723233864</v>
      </c>
      <c r="AK289" s="3">
        <f>V289*Feuil2!$G$3</f>
        <v>0</v>
      </c>
      <c r="AL289" s="3">
        <f>W289*Feuil2!$H$3</f>
        <v>39.078307134220076</v>
      </c>
      <c r="AM289" s="3">
        <f>X289*Feuil2!$I$2</f>
        <v>0</v>
      </c>
      <c r="AN289" s="3">
        <f>Y289*Feuil2!$J$3</f>
        <v>30.278696798300619</v>
      </c>
      <c r="AO289" s="3">
        <f>Z289*Feuil2!$K$3</f>
        <v>0</v>
      </c>
      <c r="AP289" s="3">
        <f>AA289*Feuil2!$L$3</f>
        <v>0</v>
      </c>
      <c r="AQ289" s="3">
        <f>AB289*Feuil2!$M$3</f>
        <v>0</v>
      </c>
      <c r="AR289" s="3">
        <f>AC289*Feuil2!$N$3</f>
        <v>105.85922821655448</v>
      </c>
    </row>
    <row r="290" spans="1:44" x14ac:dyDescent="0.35">
      <c r="A290" t="s">
        <v>577</v>
      </c>
      <c r="B290" t="s">
        <v>578</v>
      </c>
      <c r="C290">
        <v>95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95</v>
      </c>
      <c r="Q290" s="1">
        <f>C290/$C$434</f>
        <v>2.3451578661532004E-3</v>
      </c>
      <c r="R290" s="1">
        <f t="shared" si="61"/>
        <v>0</v>
      </c>
      <c r="S290" s="1">
        <f t="shared" si="65"/>
        <v>0</v>
      </c>
      <c r="T290" s="1">
        <f t="shared" si="66"/>
        <v>0</v>
      </c>
      <c r="U290" s="1">
        <f t="shared" si="67"/>
        <v>0</v>
      </c>
      <c r="V290" s="1">
        <f t="shared" si="68"/>
        <v>0</v>
      </c>
      <c r="W290" s="1">
        <f t="shared" si="69"/>
        <v>0</v>
      </c>
      <c r="X290" s="1">
        <f t="shared" si="70"/>
        <v>0</v>
      </c>
      <c r="Y290" s="1">
        <f t="shared" si="71"/>
        <v>0</v>
      </c>
      <c r="Z290" s="1">
        <f t="shared" si="62"/>
        <v>0</v>
      </c>
      <c r="AA290" s="1">
        <f t="shared" si="58"/>
        <v>0</v>
      </c>
      <c r="AB290" s="1">
        <f t="shared" si="59"/>
        <v>0</v>
      </c>
      <c r="AC290" s="1">
        <f t="shared" si="60"/>
        <v>2.5020279595040193E-4</v>
      </c>
      <c r="AD290" s="1" t="str">
        <f t="shared" si="63"/>
        <v>DE LA SEE</v>
      </c>
      <c r="AE290" s="1" t="str">
        <f t="shared" si="64"/>
        <v>6016</v>
      </c>
      <c r="AF290" s="3">
        <f>Q290*Feuil2!$B$3</f>
        <v>82.959771902540169</v>
      </c>
      <c r="AG290" s="3">
        <f>R290*Feuil2!$C$3</f>
        <v>0</v>
      </c>
      <c r="AH290" s="3">
        <f>S290*Feuil2!$D$3</f>
        <v>0</v>
      </c>
      <c r="AI290" s="3">
        <f>T290*Feuil2!$E$2</f>
        <v>0</v>
      </c>
      <c r="AJ290" s="3">
        <f>U290*Feuil2!$F$3</f>
        <v>0</v>
      </c>
      <c r="AK290" s="3">
        <f>V290*Feuil2!$G$3</f>
        <v>0</v>
      </c>
      <c r="AL290" s="3">
        <f>W290*Feuil2!$H$3</f>
        <v>0</v>
      </c>
      <c r="AM290" s="3">
        <f>X290*Feuil2!$I$2</f>
        <v>0</v>
      </c>
      <c r="AN290" s="3">
        <f>Y290*Feuil2!$J$3</f>
        <v>0</v>
      </c>
      <c r="AO290" s="3">
        <f>Z290*Feuil2!$K$3</f>
        <v>0</v>
      </c>
      <c r="AP290" s="3">
        <f>AA290*Feuil2!$L$3</f>
        <v>0</v>
      </c>
      <c r="AQ290" s="3">
        <f>AB290*Feuil2!$M$3</f>
        <v>0</v>
      </c>
      <c r="AR290" s="3">
        <f>AC290*Feuil2!$N$3</f>
        <v>104.75652792263205</v>
      </c>
    </row>
    <row r="291" spans="1:44" x14ac:dyDescent="0.35">
      <c r="A291" t="s">
        <v>579</v>
      </c>
      <c r="B291" t="s">
        <v>580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94</v>
      </c>
      <c r="M291">
        <v>0</v>
      </c>
      <c r="N291">
        <v>0</v>
      </c>
      <c r="O291">
        <v>94</v>
      </c>
      <c r="Q291" s="1">
        <f>C291/$C$434</f>
        <v>0</v>
      </c>
      <c r="R291" s="1">
        <f t="shared" si="61"/>
        <v>0</v>
      </c>
      <c r="S291" s="1">
        <f t="shared" si="65"/>
        <v>0</v>
      </c>
      <c r="T291" s="1">
        <f t="shared" si="66"/>
        <v>0</v>
      </c>
      <c r="U291" s="1">
        <f t="shared" si="67"/>
        <v>0</v>
      </c>
      <c r="V291" s="1">
        <f t="shared" si="68"/>
        <v>0</v>
      </c>
      <c r="W291" s="1">
        <f t="shared" si="69"/>
        <v>0</v>
      </c>
      <c r="X291" s="1">
        <f t="shared" si="70"/>
        <v>0</v>
      </c>
      <c r="Y291" s="1">
        <f t="shared" si="71"/>
        <v>0</v>
      </c>
      <c r="Z291" s="1">
        <f t="shared" si="62"/>
        <v>2.3853024766544864E-3</v>
      </c>
      <c r="AA291" s="1">
        <f t="shared" si="58"/>
        <v>0</v>
      </c>
      <c r="AB291" s="1">
        <f t="shared" si="59"/>
        <v>0</v>
      </c>
      <c r="AC291" s="1">
        <f t="shared" si="60"/>
        <v>2.4756908230881872E-4</v>
      </c>
      <c r="AD291" s="1" t="str">
        <f t="shared" si="63"/>
        <v>CITY COLIS 14 SASU</v>
      </c>
      <c r="AE291" s="1" t="str">
        <f t="shared" si="64"/>
        <v>3277</v>
      </c>
      <c r="AF291" s="3">
        <f>Q291*Feuil2!$B$3</f>
        <v>0</v>
      </c>
      <c r="AG291" s="3">
        <f>R291*Feuil2!$C$3</f>
        <v>0</v>
      </c>
      <c r="AH291" s="3">
        <f>S291*Feuil2!$D$3</f>
        <v>0</v>
      </c>
      <c r="AI291" s="3">
        <f>T291*Feuil2!$E$2</f>
        <v>0</v>
      </c>
      <c r="AJ291" s="3">
        <f>U291*Feuil2!$F$3</f>
        <v>0</v>
      </c>
      <c r="AK291" s="3">
        <f>V291*Feuil2!$G$3</f>
        <v>0</v>
      </c>
      <c r="AL291" s="3">
        <f>W291*Feuil2!$H$3</f>
        <v>0</v>
      </c>
      <c r="AM291" s="3">
        <f>X291*Feuil2!$I$2</f>
        <v>0</v>
      </c>
      <c r="AN291" s="3">
        <f>Y291*Feuil2!$J$3</f>
        <v>0</v>
      </c>
      <c r="AO291" s="3">
        <f>Z291*Feuil2!$K$3</f>
        <v>96.09839829476249</v>
      </c>
      <c r="AP291" s="3">
        <f>AA291*Feuil2!$L$3</f>
        <v>0</v>
      </c>
      <c r="AQ291" s="3">
        <f>AB291*Feuil2!$M$3</f>
        <v>0</v>
      </c>
      <c r="AR291" s="3">
        <f>AC291*Feuil2!$N$3</f>
        <v>103.65382762870959</v>
      </c>
    </row>
    <row r="292" spans="1:44" x14ac:dyDescent="0.35">
      <c r="A292" t="s">
        <v>581</v>
      </c>
      <c r="B292" t="s">
        <v>582</v>
      </c>
      <c r="C292">
        <v>94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94</v>
      </c>
      <c r="Q292" s="1">
        <f>C292/$C$434</f>
        <v>2.3204719938779038E-3</v>
      </c>
      <c r="R292" s="1">
        <f t="shared" si="61"/>
        <v>0</v>
      </c>
      <c r="S292" s="1">
        <f t="shared" si="65"/>
        <v>0</v>
      </c>
      <c r="T292" s="1">
        <f t="shared" si="66"/>
        <v>0</v>
      </c>
      <c r="U292" s="1">
        <f t="shared" si="67"/>
        <v>0</v>
      </c>
      <c r="V292" s="1">
        <f t="shared" si="68"/>
        <v>0</v>
      </c>
      <c r="W292" s="1">
        <f t="shared" si="69"/>
        <v>0</v>
      </c>
      <c r="X292" s="1">
        <f t="shared" si="70"/>
        <v>0</v>
      </c>
      <c r="Y292" s="1">
        <f t="shared" si="71"/>
        <v>0</v>
      </c>
      <c r="Z292" s="1">
        <f t="shared" si="62"/>
        <v>0</v>
      </c>
      <c r="AA292" s="1">
        <f t="shared" si="58"/>
        <v>0</v>
      </c>
      <c r="AB292" s="1">
        <f t="shared" si="59"/>
        <v>0</v>
      </c>
      <c r="AC292" s="1">
        <f t="shared" si="60"/>
        <v>2.4756908230881872E-4</v>
      </c>
      <c r="AD292" s="1" t="str">
        <f t="shared" si="63"/>
        <v>MOCQUET SARL</v>
      </c>
      <c r="AE292" s="1" t="str">
        <f t="shared" si="64"/>
        <v>4006</v>
      </c>
      <c r="AF292" s="3">
        <f>Q292*Feuil2!$B$3</f>
        <v>82.086511145671338</v>
      </c>
      <c r="AG292" s="3">
        <f>R292*Feuil2!$C$3</f>
        <v>0</v>
      </c>
      <c r="AH292" s="3">
        <f>S292*Feuil2!$D$3</f>
        <v>0</v>
      </c>
      <c r="AI292" s="3">
        <f>T292*Feuil2!$E$2</f>
        <v>0</v>
      </c>
      <c r="AJ292" s="3">
        <f>U292*Feuil2!$F$3</f>
        <v>0</v>
      </c>
      <c r="AK292" s="3">
        <f>V292*Feuil2!$G$3</f>
        <v>0</v>
      </c>
      <c r="AL292" s="3">
        <f>W292*Feuil2!$H$3</f>
        <v>0</v>
      </c>
      <c r="AM292" s="3">
        <f>X292*Feuil2!$I$2</f>
        <v>0</v>
      </c>
      <c r="AN292" s="3">
        <f>Y292*Feuil2!$J$3</f>
        <v>0</v>
      </c>
      <c r="AO292" s="3">
        <f>Z292*Feuil2!$K$3</f>
        <v>0</v>
      </c>
      <c r="AP292" s="3">
        <f>AA292*Feuil2!$L$3</f>
        <v>0</v>
      </c>
      <c r="AQ292" s="3">
        <f>AB292*Feuil2!$M$3</f>
        <v>0</v>
      </c>
      <c r="AR292" s="3">
        <f>AC292*Feuil2!$N$3</f>
        <v>103.65382762870959</v>
      </c>
    </row>
    <row r="293" spans="1:44" x14ac:dyDescent="0.35">
      <c r="A293" t="s">
        <v>583</v>
      </c>
      <c r="B293" t="s">
        <v>584</v>
      </c>
      <c r="C293">
        <v>0</v>
      </c>
      <c r="D293">
        <v>0</v>
      </c>
      <c r="E293">
        <v>92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92</v>
      </c>
      <c r="Q293" s="1">
        <f>C293/$C$434</f>
        <v>0</v>
      </c>
      <c r="R293" s="1">
        <f t="shared" si="61"/>
        <v>0</v>
      </c>
      <c r="S293" s="1">
        <f t="shared" si="65"/>
        <v>3.1229844869140161E-3</v>
      </c>
      <c r="T293" s="1">
        <f t="shared" si="66"/>
        <v>0</v>
      </c>
      <c r="U293" s="1">
        <f t="shared" si="67"/>
        <v>0</v>
      </c>
      <c r="V293" s="1">
        <f t="shared" si="68"/>
        <v>0</v>
      </c>
      <c r="W293" s="1">
        <f t="shared" si="69"/>
        <v>0</v>
      </c>
      <c r="X293" s="1">
        <f t="shared" si="70"/>
        <v>0</v>
      </c>
      <c r="Y293" s="1">
        <f t="shared" si="71"/>
        <v>0</v>
      </c>
      <c r="Z293" s="1">
        <f t="shared" si="62"/>
        <v>0</v>
      </c>
      <c r="AA293" s="1">
        <f t="shared" si="58"/>
        <v>0</v>
      </c>
      <c r="AB293" s="1">
        <f t="shared" si="59"/>
        <v>0</v>
      </c>
      <c r="AC293" s="1">
        <f t="shared" si="60"/>
        <v>2.4230165502565237E-4</v>
      </c>
      <c r="AD293" s="1" t="str">
        <f t="shared" si="63"/>
        <v>TOUT POUR L AUTO</v>
      </c>
      <c r="AE293" s="1" t="str">
        <f t="shared" si="64"/>
        <v>4585</v>
      </c>
      <c r="AF293" s="3">
        <f>Q293*Feuil2!$B$3</f>
        <v>0</v>
      </c>
      <c r="AG293" s="3">
        <f>R293*Feuil2!$C$3</f>
        <v>0</v>
      </c>
      <c r="AH293" s="3">
        <f>S293*Feuil2!$D$3</f>
        <v>122.72641976984963</v>
      </c>
      <c r="AI293" s="3">
        <f>T293*Feuil2!$E$2</f>
        <v>0</v>
      </c>
      <c r="AJ293" s="3">
        <f>U293*Feuil2!$F$3</f>
        <v>0</v>
      </c>
      <c r="AK293" s="3">
        <f>V293*Feuil2!$G$3</f>
        <v>0</v>
      </c>
      <c r="AL293" s="3">
        <f>W293*Feuil2!$H$3</f>
        <v>0</v>
      </c>
      <c r="AM293" s="3">
        <f>X293*Feuil2!$I$2</f>
        <v>0</v>
      </c>
      <c r="AN293" s="3">
        <f>Y293*Feuil2!$J$3</f>
        <v>0</v>
      </c>
      <c r="AO293" s="3">
        <f>Z293*Feuil2!$K$3</f>
        <v>0</v>
      </c>
      <c r="AP293" s="3">
        <f>AA293*Feuil2!$L$3</f>
        <v>0</v>
      </c>
      <c r="AQ293" s="3">
        <f>AB293*Feuil2!$M$3</f>
        <v>0</v>
      </c>
      <c r="AR293" s="3">
        <f>AC293*Feuil2!$N$3</f>
        <v>101.44842704086471</v>
      </c>
    </row>
    <row r="294" spans="1:44" x14ac:dyDescent="0.35">
      <c r="A294" t="s">
        <v>585</v>
      </c>
      <c r="B294" t="s">
        <v>586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91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91</v>
      </c>
      <c r="Q294" s="1">
        <f>C294/$C$434</f>
        <v>0</v>
      </c>
      <c r="R294" s="1">
        <f t="shared" si="61"/>
        <v>0</v>
      </c>
      <c r="S294" s="1">
        <f t="shared" si="65"/>
        <v>0</v>
      </c>
      <c r="T294" s="1">
        <f t="shared" si="66"/>
        <v>0</v>
      </c>
      <c r="U294" s="1">
        <f t="shared" si="67"/>
        <v>0</v>
      </c>
      <c r="V294" s="1">
        <f t="shared" si="68"/>
        <v>0</v>
      </c>
      <c r="W294" s="1">
        <f t="shared" si="69"/>
        <v>2.0377088091719287E-3</v>
      </c>
      <c r="X294" s="1">
        <f t="shared" si="70"/>
        <v>0</v>
      </c>
      <c r="Y294" s="1">
        <f t="shared" si="71"/>
        <v>0</v>
      </c>
      <c r="Z294" s="1">
        <f t="shared" si="62"/>
        <v>0</v>
      </c>
      <c r="AA294" s="1">
        <f t="shared" si="58"/>
        <v>0</v>
      </c>
      <c r="AB294" s="1">
        <f t="shared" si="59"/>
        <v>0</v>
      </c>
      <c r="AC294" s="1">
        <f t="shared" si="60"/>
        <v>2.3966794138406919E-4</v>
      </c>
      <c r="AD294" s="1" t="str">
        <f t="shared" si="63"/>
        <v>LE ROYER DIDIER</v>
      </c>
      <c r="AE294" s="1" t="str">
        <f t="shared" si="64"/>
        <v>3704</v>
      </c>
      <c r="AF294" s="3">
        <f>Q294*Feuil2!$B$3</f>
        <v>0</v>
      </c>
      <c r="AG294" s="3">
        <f>R294*Feuil2!$C$3</f>
        <v>0</v>
      </c>
      <c r="AH294" s="3">
        <f>S294*Feuil2!$D$3</f>
        <v>0</v>
      </c>
      <c r="AI294" s="3">
        <f>T294*Feuil2!$E$2</f>
        <v>0</v>
      </c>
      <c r="AJ294" s="3">
        <f>U294*Feuil2!$F$3</f>
        <v>0</v>
      </c>
      <c r="AK294" s="3">
        <f>V294*Feuil2!$G$3</f>
        <v>0</v>
      </c>
      <c r="AL294" s="3">
        <f>W294*Feuil2!$H$3</f>
        <v>74.085957275292216</v>
      </c>
      <c r="AM294" s="3">
        <f>X294*Feuil2!$I$2</f>
        <v>0</v>
      </c>
      <c r="AN294" s="3">
        <f>Y294*Feuil2!$J$3</f>
        <v>0</v>
      </c>
      <c r="AO294" s="3">
        <f>Z294*Feuil2!$K$3</f>
        <v>0</v>
      </c>
      <c r="AP294" s="3">
        <f>AA294*Feuil2!$L$3</f>
        <v>0</v>
      </c>
      <c r="AQ294" s="3">
        <f>AB294*Feuil2!$M$3</f>
        <v>0</v>
      </c>
      <c r="AR294" s="3">
        <f>AC294*Feuil2!$N$3</f>
        <v>100.34572674694226</v>
      </c>
    </row>
    <row r="295" spans="1:44" x14ac:dyDescent="0.35">
      <c r="A295" t="s">
        <v>587</v>
      </c>
      <c r="B295" t="s">
        <v>588</v>
      </c>
      <c r="C295">
        <v>0</v>
      </c>
      <c r="D295">
        <v>89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89</v>
      </c>
      <c r="Q295" s="1">
        <f>C295/$C$434</f>
        <v>0</v>
      </c>
      <c r="R295" s="1">
        <f t="shared" si="61"/>
        <v>3.751791585869657E-3</v>
      </c>
      <c r="S295" s="1">
        <f t="shared" si="65"/>
        <v>0</v>
      </c>
      <c r="T295" s="1">
        <f t="shared" si="66"/>
        <v>0</v>
      </c>
      <c r="U295" s="1">
        <f t="shared" si="67"/>
        <v>0</v>
      </c>
      <c r="V295" s="1">
        <f t="shared" si="68"/>
        <v>0</v>
      </c>
      <c r="W295" s="1">
        <f t="shared" si="69"/>
        <v>0</v>
      </c>
      <c r="X295" s="1">
        <f t="shared" si="70"/>
        <v>0</v>
      </c>
      <c r="Y295" s="1">
        <f t="shared" si="71"/>
        <v>0</v>
      </c>
      <c r="Z295" s="1">
        <f t="shared" si="62"/>
        <v>0</v>
      </c>
      <c r="AA295" s="1">
        <f t="shared" si="58"/>
        <v>0</v>
      </c>
      <c r="AB295" s="1">
        <f t="shared" si="59"/>
        <v>0</v>
      </c>
      <c r="AC295" s="1">
        <f t="shared" si="60"/>
        <v>2.3440051410090283E-4</v>
      </c>
      <c r="AD295" s="1" t="str">
        <f t="shared" si="63"/>
        <v>LGB AUTOS</v>
      </c>
      <c r="AE295" s="1" t="str">
        <f t="shared" si="64"/>
        <v>3024</v>
      </c>
      <c r="AF295" s="3">
        <f>Q295*Feuil2!$B$3</f>
        <v>0</v>
      </c>
      <c r="AG295" s="3">
        <f>R295*Feuil2!$C$3</f>
        <v>132.71932720681224</v>
      </c>
      <c r="AH295" s="3">
        <f>S295*Feuil2!$D$3</f>
        <v>0</v>
      </c>
      <c r="AI295" s="3">
        <f>T295*Feuil2!$E$2</f>
        <v>0</v>
      </c>
      <c r="AJ295" s="3">
        <f>U295*Feuil2!$F$3</f>
        <v>0</v>
      </c>
      <c r="AK295" s="3">
        <f>V295*Feuil2!$G$3</f>
        <v>0</v>
      </c>
      <c r="AL295" s="3">
        <f>W295*Feuil2!$H$3</f>
        <v>0</v>
      </c>
      <c r="AM295" s="3">
        <f>X295*Feuil2!$I$2</f>
        <v>0</v>
      </c>
      <c r="AN295" s="3">
        <f>Y295*Feuil2!$J$3</f>
        <v>0</v>
      </c>
      <c r="AO295" s="3">
        <f>Z295*Feuil2!$K$3</f>
        <v>0</v>
      </c>
      <c r="AP295" s="3">
        <f>AA295*Feuil2!$L$3</f>
        <v>0</v>
      </c>
      <c r="AQ295" s="3">
        <f>AB295*Feuil2!$M$3</f>
        <v>0</v>
      </c>
      <c r="AR295" s="3">
        <f>AC295*Feuil2!$N$3</f>
        <v>98.140326159097384</v>
      </c>
    </row>
    <row r="296" spans="1:44" x14ac:dyDescent="0.35">
      <c r="A296" t="s">
        <v>589</v>
      </c>
      <c r="B296" t="s">
        <v>590</v>
      </c>
      <c r="C296">
        <v>0</v>
      </c>
      <c r="D296">
        <v>0</v>
      </c>
      <c r="E296">
        <v>0</v>
      </c>
      <c r="F296">
        <v>65</v>
      </c>
      <c r="G296">
        <v>0</v>
      </c>
      <c r="H296">
        <v>0</v>
      </c>
      <c r="I296">
        <v>0</v>
      </c>
      <c r="J296">
        <v>0</v>
      </c>
      <c r="K296">
        <v>21</v>
      </c>
      <c r="L296">
        <v>0</v>
      </c>
      <c r="M296">
        <v>0</v>
      </c>
      <c r="N296">
        <v>0</v>
      </c>
      <c r="O296">
        <v>86</v>
      </c>
      <c r="Q296" s="1">
        <f>C296/$C$434</f>
        <v>0</v>
      </c>
      <c r="R296" s="1">
        <f t="shared" si="61"/>
        <v>0</v>
      </c>
      <c r="S296" s="1">
        <f t="shared" si="65"/>
        <v>0</v>
      </c>
      <c r="T296" s="1">
        <f t="shared" si="66"/>
        <v>2.6101272939003332E-3</v>
      </c>
      <c r="U296" s="1">
        <f t="shared" si="67"/>
        <v>0</v>
      </c>
      <c r="V296" s="1">
        <f t="shared" si="68"/>
        <v>0</v>
      </c>
      <c r="W296" s="1">
        <f t="shared" si="69"/>
        <v>0</v>
      </c>
      <c r="X296" s="1">
        <f t="shared" si="70"/>
        <v>0</v>
      </c>
      <c r="Y296" s="1">
        <f t="shared" si="71"/>
        <v>5.3745553195301099E-4</v>
      </c>
      <c r="Z296" s="1">
        <f t="shared" si="62"/>
        <v>0</v>
      </c>
      <c r="AA296" s="1">
        <f t="shared" si="58"/>
        <v>0</v>
      </c>
      <c r="AB296" s="1">
        <f t="shared" si="59"/>
        <v>0</v>
      </c>
      <c r="AC296" s="1">
        <f t="shared" si="60"/>
        <v>2.264993731761533E-4</v>
      </c>
      <c r="AD296" s="1" t="str">
        <f t="shared" si="63"/>
        <v>GARAGE DU MARTRAY</v>
      </c>
      <c r="AE296" s="1" t="str">
        <f t="shared" si="64"/>
        <v>3315</v>
      </c>
      <c r="AF296" s="3">
        <f>Q296*Feuil2!$B$3</f>
        <v>0</v>
      </c>
      <c r="AG296" s="3">
        <f>R296*Feuil2!$C$3</f>
        <v>0</v>
      </c>
      <c r="AH296" s="3">
        <f>S296*Feuil2!$D$3</f>
        <v>0</v>
      </c>
      <c r="AI296" s="3">
        <f>T296*Feuil2!$E$2</f>
        <v>97.835401357266193</v>
      </c>
      <c r="AJ296" s="3">
        <f>U296*Feuil2!$F$3</f>
        <v>0</v>
      </c>
      <c r="AK296" s="3">
        <f>V296*Feuil2!$G$3</f>
        <v>0</v>
      </c>
      <c r="AL296" s="3">
        <f>W296*Feuil2!$H$3</f>
        <v>0</v>
      </c>
      <c r="AM296" s="3">
        <f>X296*Feuil2!$I$2</f>
        <v>0</v>
      </c>
      <c r="AN296" s="3">
        <f>Y296*Feuil2!$J$3</f>
        <v>22.709022598725461</v>
      </c>
      <c r="AO296" s="3">
        <f>Z296*Feuil2!$K$3</f>
        <v>0</v>
      </c>
      <c r="AP296" s="3">
        <f>AA296*Feuil2!$L$3</f>
        <v>0</v>
      </c>
      <c r="AQ296" s="3">
        <f>AB296*Feuil2!$M$3</f>
        <v>0</v>
      </c>
      <c r="AR296" s="3">
        <f>AC296*Feuil2!$N$3</f>
        <v>94.832225277330053</v>
      </c>
    </row>
    <row r="297" spans="1:44" x14ac:dyDescent="0.35">
      <c r="A297" t="s">
        <v>591</v>
      </c>
      <c r="B297" t="s">
        <v>592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86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86</v>
      </c>
      <c r="Q297" s="1">
        <f>C297/$C$434</f>
        <v>0</v>
      </c>
      <c r="R297" s="1">
        <f t="shared" si="61"/>
        <v>0</v>
      </c>
      <c r="S297" s="1">
        <f t="shared" si="65"/>
        <v>0</v>
      </c>
      <c r="T297" s="1">
        <f t="shared" si="66"/>
        <v>0</v>
      </c>
      <c r="U297" s="1">
        <f t="shared" si="67"/>
        <v>0</v>
      </c>
      <c r="V297" s="1">
        <f t="shared" si="68"/>
        <v>0</v>
      </c>
      <c r="W297" s="1">
        <f t="shared" si="69"/>
        <v>1.9257467866899548E-3</v>
      </c>
      <c r="X297" s="1">
        <f t="shared" si="70"/>
        <v>0</v>
      </c>
      <c r="Y297" s="1">
        <f t="shared" si="71"/>
        <v>0</v>
      </c>
      <c r="Z297" s="1">
        <f t="shared" si="62"/>
        <v>0</v>
      </c>
      <c r="AA297" s="1">
        <f t="shared" si="58"/>
        <v>0</v>
      </c>
      <c r="AB297" s="1">
        <f t="shared" si="59"/>
        <v>0</v>
      </c>
      <c r="AC297" s="1">
        <f t="shared" si="60"/>
        <v>2.264993731761533E-4</v>
      </c>
      <c r="AD297" s="1" t="str">
        <f t="shared" si="63"/>
        <v>MIKA AUTOMOBILES</v>
      </c>
      <c r="AE297" s="1" t="str">
        <f t="shared" si="64"/>
        <v>3105</v>
      </c>
      <c r="AF297" s="3">
        <f>Q297*Feuil2!$B$3</f>
        <v>0</v>
      </c>
      <c r="AG297" s="3">
        <f>R297*Feuil2!$C$3</f>
        <v>0</v>
      </c>
      <c r="AH297" s="3">
        <f>S297*Feuil2!$D$3</f>
        <v>0</v>
      </c>
      <c r="AI297" s="3">
        <f>T297*Feuil2!$E$2</f>
        <v>0</v>
      </c>
      <c r="AJ297" s="3">
        <f>U297*Feuil2!$F$3</f>
        <v>0</v>
      </c>
      <c r="AK297" s="3">
        <f>V297*Feuil2!$G$3</f>
        <v>0</v>
      </c>
      <c r="AL297" s="3">
        <f>W297*Feuil2!$H$3</f>
        <v>70.01530028214431</v>
      </c>
      <c r="AM297" s="3">
        <f>X297*Feuil2!$I$2</f>
        <v>0</v>
      </c>
      <c r="AN297" s="3">
        <f>Y297*Feuil2!$J$3</f>
        <v>0</v>
      </c>
      <c r="AO297" s="3">
        <f>Z297*Feuil2!$K$3</f>
        <v>0</v>
      </c>
      <c r="AP297" s="3">
        <f>AA297*Feuil2!$L$3</f>
        <v>0</v>
      </c>
      <c r="AQ297" s="3">
        <f>AB297*Feuil2!$M$3</f>
        <v>0</v>
      </c>
      <c r="AR297" s="3">
        <f>AC297*Feuil2!$N$3</f>
        <v>94.832225277330053</v>
      </c>
    </row>
    <row r="298" spans="1:44" x14ac:dyDescent="0.35">
      <c r="A298" t="s">
        <v>593</v>
      </c>
      <c r="B298" t="s">
        <v>594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83</v>
      </c>
      <c r="K298">
        <v>0</v>
      </c>
      <c r="L298">
        <v>0</v>
      </c>
      <c r="M298">
        <v>0</v>
      </c>
      <c r="N298">
        <v>0</v>
      </c>
      <c r="O298">
        <v>83</v>
      </c>
      <c r="Q298" s="1">
        <f>C298/$C$434</f>
        <v>0</v>
      </c>
      <c r="R298" s="1">
        <f t="shared" si="61"/>
        <v>0</v>
      </c>
      <c r="S298" s="1">
        <f t="shared" si="65"/>
        <v>0</v>
      </c>
      <c r="T298" s="1">
        <f t="shared" si="66"/>
        <v>0</v>
      </c>
      <c r="U298" s="1">
        <f t="shared" si="67"/>
        <v>0</v>
      </c>
      <c r="V298" s="1">
        <f t="shared" si="68"/>
        <v>0</v>
      </c>
      <c r="W298" s="1">
        <f t="shared" si="69"/>
        <v>0</v>
      </c>
      <c r="X298" s="1">
        <f t="shared" si="70"/>
        <v>4.4342344267549955E-3</v>
      </c>
      <c r="Y298" s="1">
        <f t="shared" si="71"/>
        <v>0</v>
      </c>
      <c r="Z298" s="1">
        <f t="shared" si="62"/>
        <v>0</v>
      </c>
      <c r="AA298" s="1">
        <f t="shared" si="58"/>
        <v>0</v>
      </c>
      <c r="AB298" s="1">
        <f t="shared" si="59"/>
        <v>0</v>
      </c>
      <c r="AC298" s="1">
        <f t="shared" si="60"/>
        <v>2.1859823225140376E-4</v>
      </c>
      <c r="AD298" s="1" t="str">
        <f t="shared" si="63"/>
        <v>GARAGE SAS JOSSE PEINTURE</v>
      </c>
      <c r="AE298" s="1" t="str">
        <f t="shared" si="64"/>
        <v>5129</v>
      </c>
      <c r="AF298" s="3">
        <f>Q298*Feuil2!$B$3</f>
        <v>0</v>
      </c>
      <c r="AG298" s="3">
        <f>R298*Feuil2!$C$3</f>
        <v>0</v>
      </c>
      <c r="AH298" s="3">
        <f>S298*Feuil2!$D$3</f>
        <v>0</v>
      </c>
      <c r="AI298" s="3">
        <f>T298*Feuil2!$E$2</f>
        <v>0</v>
      </c>
      <c r="AJ298" s="3">
        <f>U298*Feuil2!$F$3</f>
        <v>0</v>
      </c>
      <c r="AK298" s="3">
        <f>V298*Feuil2!$G$3</f>
        <v>0</v>
      </c>
      <c r="AL298" s="3">
        <f>W298*Feuil2!$H$3</f>
        <v>0</v>
      </c>
      <c r="AM298" s="3">
        <f>X298*Feuil2!$I$2</f>
        <v>94.724115824340217</v>
      </c>
      <c r="AN298" s="3">
        <f>Y298*Feuil2!$J$3</f>
        <v>0</v>
      </c>
      <c r="AO298" s="3">
        <f>Z298*Feuil2!$K$3</f>
        <v>0</v>
      </c>
      <c r="AP298" s="3">
        <f>AA298*Feuil2!$L$3</f>
        <v>0</v>
      </c>
      <c r="AQ298" s="3">
        <f>AB298*Feuil2!$M$3</f>
        <v>0</v>
      </c>
      <c r="AR298" s="3">
        <f>AC298*Feuil2!$N$3</f>
        <v>91.524124395562723</v>
      </c>
    </row>
    <row r="299" spans="1:44" x14ac:dyDescent="0.35">
      <c r="A299" t="s">
        <v>595</v>
      </c>
      <c r="B299" t="s">
        <v>596</v>
      </c>
      <c r="C299">
        <v>48</v>
      </c>
      <c r="D299">
        <v>0</v>
      </c>
      <c r="E299">
        <v>0</v>
      </c>
      <c r="F299">
        <v>33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81</v>
      </c>
      <c r="Q299" s="1">
        <f>C299/$C$434</f>
        <v>1.1849218692142488E-3</v>
      </c>
      <c r="R299" s="1">
        <f t="shared" si="61"/>
        <v>0</v>
      </c>
      <c r="S299" s="1">
        <f t="shared" si="65"/>
        <v>0</v>
      </c>
      <c r="T299" s="1">
        <f t="shared" si="66"/>
        <v>1.3251415492109384E-3</v>
      </c>
      <c r="U299" s="1">
        <f t="shared" si="67"/>
        <v>0</v>
      </c>
      <c r="V299" s="1">
        <f t="shared" si="68"/>
        <v>0</v>
      </c>
      <c r="W299" s="1">
        <f t="shared" si="69"/>
        <v>0</v>
      </c>
      <c r="X299" s="1">
        <f t="shared" si="70"/>
        <v>0</v>
      </c>
      <c r="Y299" s="1">
        <f t="shared" si="71"/>
        <v>0</v>
      </c>
      <c r="Z299" s="1">
        <f t="shared" si="62"/>
        <v>0</v>
      </c>
      <c r="AA299" s="1">
        <f t="shared" si="58"/>
        <v>0</v>
      </c>
      <c r="AB299" s="1">
        <f t="shared" si="59"/>
        <v>0</v>
      </c>
      <c r="AC299" s="1">
        <f t="shared" si="60"/>
        <v>2.133308049682374E-4</v>
      </c>
      <c r="AD299" s="1" t="str">
        <f t="shared" si="63"/>
        <v>LEROY</v>
      </c>
      <c r="AE299" s="1" t="str">
        <f t="shared" si="64"/>
        <v>3016</v>
      </c>
      <c r="AF299" s="3">
        <f>Q299*Feuil2!$B$3</f>
        <v>41.916516329704514</v>
      </c>
      <c r="AG299" s="3">
        <f>R299*Feuil2!$C$3</f>
        <v>0</v>
      </c>
      <c r="AH299" s="3">
        <f>S299*Feuil2!$D$3</f>
        <v>0</v>
      </c>
      <c r="AI299" s="3">
        <f>T299*Feuil2!$E$2</f>
        <v>49.670280689073607</v>
      </c>
      <c r="AJ299" s="3">
        <f>U299*Feuil2!$F$3</f>
        <v>0</v>
      </c>
      <c r="AK299" s="3">
        <f>V299*Feuil2!$G$3</f>
        <v>0</v>
      </c>
      <c r="AL299" s="3">
        <f>W299*Feuil2!$H$3</f>
        <v>0</v>
      </c>
      <c r="AM299" s="3">
        <f>X299*Feuil2!$I$2</f>
        <v>0</v>
      </c>
      <c r="AN299" s="3">
        <f>Y299*Feuil2!$J$3</f>
        <v>0</v>
      </c>
      <c r="AO299" s="3">
        <f>Z299*Feuil2!$K$3</f>
        <v>0</v>
      </c>
      <c r="AP299" s="3">
        <f>AA299*Feuil2!$L$3</f>
        <v>0</v>
      </c>
      <c r="AQ299" s="3">
        <f>AB299*Feuil2!$M$3</f>
        <v>0</v>
      </c>
      <c r="AR299" s="3">
        <f>AC299*Feuil2!$N$3</f>
        <v>89.318723807717845</v>
      </c>
    </row>
    <row r="300" spans="1:44" x14ac:dyDescent="0.35">
      <c r="A300" t="s">
        <v>597</v>
      </c>
      <c r="B300" t="s">
        <v>598</v>
      </c>
      <c r="C300">
        <v>0</v>
      </c>
      <c r="D300">
        <v>0</v>
      </c>
      <c r="E300">
        <v>0</v>
      </c>
      <c r="F300">
        <v>77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77</v>
      </c>
      <c r="Q300" s="1">
        <f>C300/$C$434</f>
        <v>0</v>
      </c>
      <c r="R300" s="1">
        <f t="shared" si="61"/>
        <v>0</v>
      </c>
      <c r="S300" s="1">
        <f t="shared" si="65"/>
        <v>0</v>
      </c>
      <c r="T300" s="1">
        <f t="shared" si="66"/>
        <v>3.0919969481588562E-3</v>
      </c>
      <c r="U300" s="1">
        <f t="shared" si="67"/>
        <v>0</v>
      </c>
      <c r="V300" s="1">
        <f t="shared" si="68"/>
        <v>0</v>
      </c>
      <c r="W300" s="1">
        <f t="shared" si="69"/>
        <v>0</v>
      </c>
      <c r="X300" s="1">
        <f t="shared" si="70"/>
        <v>0</v>
      </c>
      <c r="Y300" s="1">
        <f t="shared" si="71"/>
        <v>0</v>
      </c>
      <c r="Z300" s="1">
        <f t="shared" si="62"/>
        <v>0</v>
      </c>
      <c r="AA300" s="1">
        <f t="shared" si="58"/>
        <v>0</v>
      </c>
      <c r="AB300" s="1">
        <f t="shared" si="59"/>
        <v>0</v>
      </c>
      <c r="AC300" s="1">
        <f t="shared" si="60"/>
        <v>2.0279595040190469E-4</v>
      </c>
      <c r="AD300" s="1" t="str">
        <f t="shared" si="63"/>
        <v>MME POSTEL</v>
      </c>
      <c r="AE300" s="1" t="str">
        <f t="shared" si="64"/>
        <v>9133</v>
      </c>
      <c r="AF300" s="3">
        <f>Q300*Feuil2!$B$3</f>
        <v>0</v>
      </c>
      <c r="AG300" s="3">
        <f>R300*Feuil2!$C$3</f>
        <v>0</v>
      </c>
      <c r="AH300" s="3">
        <f>S300*Feuil2!$D$3</f>
        <v>0</v>
      </c>
      <c r="AI300" s="3">
        <f>T300*Feuil2!$E$2</f>
        <v>115.89732160783841</v>
      </c>
      <c r="AJ300" s="3">
        <f>U300*Feuil2!$F$3</f>
        <v>0</v>
      </c>
      <c r="AK300" s="3">
        <f>V300*Feuil2!$G$3</f>
        <v>0</v>
      </c>
      <c r="AL300" s="3">
        <f>W300*Feuil2!$H$3</f>
        <v>0</v>
      </c>
      <c r="AM300" s="3">
        <f>X300*Feuil2!$I$2</f>
        <v>0</v>
      </c>
      <c r="AN300" s="3">
        <f>Y300*Feuil2!$J$3</f>
        <v>0</v>
      </c>
      <c r="AO300" s="3">
        <f>Z300*Feuil2!$K$3</f>
        <v>0</v>
      </c>
      <c r="AP300" s="3">
        <f>AA300*Feuil2!$L$3</f>
        <v>0</v>
      </c>
      <c r="AQ300" s="3">
        <f>AB300*Feuil2!$M$3</f>
        <v>0</v>
      </c>
      <c r="AR300" s="3">
        <f>AC300*Feuil2!$N$3</f>
        <v>84.907922632028061</v>
      </c>
    </row>
    <row r="301" spans="1:44" x14ac:dyDescent="0.35">
      <c r="A301" t="s">
        <v>599</v>
      </c>
      <c r="B301" t="s">
        <v>600</v>
      </c>
      <c r="C301">
        <v>32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45</v>
      </c>
      <c r="N301">
        <v>0</v>
      </c>
      <c r="O301">
        <v>77</v>
      </c>
      <c r="Q301" s="1">
        <f>C301/$C$434</f>
        <v>7.8994791280949915E-4</v>
      </c>
      <c r="R301" s="1">
        <f t="shared" si="61"/>
        <v>0</v>
      </c>
      <c r="S301" s="1">
        <f t="shared" si="65"/>
        <v>0</v>
      </c>
      <c r="T301" s="1">
        <f t="shared" si="66"/>
        <v>0</v>
      </c>
      <c r="U301" s="1">
        <f t="shared" si="67"/>
        <v>0</v>
      </c>
      <c r="V301" s="1">
        <f t="shared" si="68"/>
        <v>0</v>
      </c>
      <c r="W301" s="1">
        <f t="shared" si="69"/>
        <v>0</v>
      </c>
      <c r="X301" s="1">
        <f t="shared" si="70"/>
        <v>0</v>
      </c>
      <c r="Y301" s="1">
        <f t="shared" si="71"/>
        <v>0</v>
      </c>
      <c r="Z301" s="1">
        <f t="shared" si="62"/>
        <v>0</v>
      </c>
      <c r="AA301" s="1">
        <f t="shared" si="58"/>
        <v>1.1266054127131162E-3</v>
      </c>
      <c r="AB301" s="1">
        <f t="shared" si="59"/>
        <v>0</v>
      </c>
      <c r="AC301" s="1">
        <f t="shared" si="60"/>
        <v>2.0279595040190469E-4</v>
      </c>
      <c r="AD301" s="1" t="str">
        <f t="shared" si="63"/>
        <v>MOREAU AUTOMOBILES</v>
      </c>
      <c r="AE301" s="1" t="str">
        <f t="shared" si="64"/>
        <v>2019</v>
      </c>
      <c r="AF301" s="3">
        <f>Q301*Feuil2!$B$3</f>
        <v>27.944344219803007</v>
      </c>
      <c r="AG301" s="3">
        <f>R301*Feuil2!$C$3</f>
        <v>0</v>
      </c>
      <c r="AH301" s="3">
        <f>S301*Feuil2!$D$3</f>
        <v>0</v>
      </c>
      <c r="AI301" s="3">
        <f>T301*Feuil2!$E$2</f>
        <v>0</v>
      </c>
      <c r="AJ301" s="3">
        <f>U301*Feuil2!$F$3</f>
        <v>0</v>
      </c>
      <c r="AK301" s="3">
        <f>V301*Feuil2!$G$3</f>
        <v>0</v>
      </c>
      <c r="AL301" s="3">
        <f>W301*Feuil2!$H$3</f>
        <v>0</v>
      </c>
      <c r="AM301" s="3">
        <f>X301*Feuil2!$I$2</f>
        <v>0</v>
      </c>
      <c r="AN301" s="3">
        <f>Y301*Feuil2!$J$3</f>
        <v>0</v>
      </c>
      <c r="AO301" s="3">
        <f>Z301*Feuil2!$K$3</f>
        <v>0</v>
      </c>
      <c r="AP301" s="3">
        <f>AA301*Feuil2!$L$3</f>
        <v>40.960533760608875</v>
      </c>
      <c r="AQ301" s="3">
        <f>AB301*Feuil2!$M$3</f>
        <v>0</v>
      </c>
      <c r="AR301" s="3">
        <f>AC301*Feuil2!$N$3</f>
        <v>84.907922632028061</v>
      </c>
    </row>
    <row r="302" spans="1:44" x14ac:dyDescent="0.35">
      <c r="A302" t="s">
        <v>601</v>
      </c>
      <c r="B302" t="s">
        <v>602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75</v>
      </c>
      <c r="N302">
        <v>0</v>
      </c>
      <c r="O302">
        <v>75</v>
      </c>
      <c r="Q302" s="1">
        <f>C302/$C$434</f>
        <v>0</v>
      </c>
      <c r="R302" s="1">
        <f t="shared" si="61"/>
        <v>0</v>
      </c>
      <c r="S302" s="1">
        <f t="shared" si="65"/>
        <v>0</v>
      </c>
      <c r="T302" s="1">
        <f t="shared" si="66"/>
        <v>0</v>
      </c>
      <c r="U302" s="1">
        <f t="shared" si="67"/>
        <v>0</v>
      </c>
      <c r="V302" s="1">
        <f t="shared" si="68"/>
        <v>0</v>
      </c>
      <c r="W302" s="1">
        <f t="shared" si="69"/>
        <v>0</v>
      </c>
      <c r="X302" s="1">
        <f t="shared" si="70"/>
        <v>0</v>
      </c>
      <c r="Y302" s="1">
        <f t="shared" si="71"/>
        <v>0</v>
      </c>
      <c r="Z302" s="1">
        <f t="shared" si="62"/>
        <v>0</v>
      </c>
      <c r="AA302" s="1">
        <f t="shared" si="58"/>
        <v>1.8776756878551937E-3</v>
      </c>
      <c r="AB302" s="1">
        <f t="shared" si="59"/>
        <v>0</v>
      </c>
      <c r="AC302" s="1">
        <f t="shared" si="60"/>
        <v>1.9752852311873833E-4</v>
      </c>
      <c r="AD302" s="1" t="str">
        <f t="shared" si="63"/>
        <v>DE DEMOUVILLE</v>
      </c>
      <c r="AE302" s="1" t="str">
        <f t="shared" si="64"/>
        <v>3608</v>
      </c>
      <c r="AF302" s="3">
        <f>Q302*Feuil2!$B$3</f>
        <v>0</v>
      </c>
      <c r="AG302" s="3">
        <f>R302*Feuil2!$C$3</f>
        <v>0</v>
      </c>
      <c r="AH302" s="3">
        <f>S302*Feuil2!$D$3</f>
        <v>0</v>
      </c>
      <c r="AI302" s="3">
        <f>T302*Feuil2!$E$2</f>
        <v>0</v>
      </c>
      <c r="AJ302" s="3">
        <f>U302*Feuil2!$F$3</f>
        <v>0</v>
      </c>
      <c r="AK302" s="3">
        <f>V302*Feuil2!$G$3</f>
        <v>0</v>
      </c>
      <c r="AL302" s="3">
        <f>W302*Feuil2!$H$3</f>
        <v>0</v>
      </c>
      <c r="AM302" s="3">
        <f>X302*Feuil2!$I$2</f>
        <v>0</v>
      </c>
      <c r="AN302" s="3">
        <f>Y302*Feuil2!$J$3</f>
        <v>0</v>
      </c>
      <c r="AO302" s="3">
        <f>Z302*Feuil2!$K$3</f>
        <v>0</v>
      </c>
      <c r="AP302" s="3">
        <f>AA302*Feuil2!$L$3</f>
        <v>68.267556267681456</v>
      </c>
      <c r="AQ302" s="3">
        <f>AB302*Feuil2!$M$3</f>
        <v>0</v>
      </c>
      <c r="AR302" s="3">
        <f>AC302*Feuil2!$N$3</f>
        <v>82.702522044183183</v>
      </c>
    </row>
    <row r="303" spans="1:44" x14ac:dyDescent="0.35">
      <c r="A303" t="s">
        <v>603</v>
      </c>
      <c r="B303" t="s">
        <v>604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37</v>
      </c>
      <c r="J303">
        <v>0</v>
      </c>
      <c r="K303">
        <v>0</v>
      </c>
      <c r="L303">
        <v>35</v>
      </c>
      <c r="M303">
        <v>0</v>
      </c>
      <c r="N303">
        <v>0</v>
      </c>
      <c r="O303">
        <v>72</v>
      </c>
      <c r="Q303" s="1">
        <f>C303/$C$434</f>
        <v>0</v>
      </c>
      <c r="R303" s="1">
        <f t="shared" si="61"/>
        <v>0</v>
      </c>
      <c r="S303" s="1">
        <f t="shared" si="65"/>
        <v>0</v>
      </c>
      <c r="T303" s="1">
        <f t="shared" si="66"/>
        <v>0</v>
      </c>
      <c r="U303" s="1">
        <f t="shared" si="67"/>
        <v>0</v>
      </c>
      <c r="V303" s="1">
        <f t="shared" si="68"/>
        <v>0</v>
      </c>
      <c r="W303" s="1">
        <f t="shared" si="69"/>
        <v>8.2851896636660846E-4</v>
      </c>
      <c r="X303" s="1">
        <f t="shared" si="70"/>
        <v>0</v>
      </c>
      <c r="Y303" s="1">
        <f t="shared" si="71"/>
        <v>0</v>
      </c>
      <c r="Z303" s="1">
        <f t="shared" si="62"/>
        <v>8.88144539179862E-4</v>
      </c>
      <c r="AA303" s="1">
        <f t="shared" si="58"/>
        <v>0</v>
      </c>
      <c r="AB303" s="1">
        <f t="shared" si="59"/>
        <v>0</v>
      </c>
      <c r="AC303" s="1">
        <f t="shared" si="60"/>
        <v>1.8962738219398882E-4</v>
      </c>
      <c r="AD303" s="1" t="str">
        <f t="shared" si="63"/>
        <v>SARL NDA 14</v>
      </c>
      <c r="AE303" s="1" t="str">
        <f t="shared" si="64"/>
        <v>5403</v>
      </c>
      <c r="AF303" s="3">
        <f>Q303*Feuil2!$B$3</f>
        <v>0</v>
      </c>
      <c r="AG303" s="3">
        <f>R303*Feuil2!$C$3</f>
        <v>0</v>
      </c>
      <c r="AH303" s="3">
        <f>S303*Feuil2!$D$3</f>
        <v>0</v>
      </c>
      <c r="AI303" s="3">
        <f>T303*Feuil2!$E$2</f>
        <v>0</v>
      </c>
      <c r="AJ303" s="3">
        <f>U303*Feuil2!$F$3</f>
        <v>0</v>
      </c>
      <c r="AK303" s="3">
        <f>V303*Feuil2!$G$3</f>
        <v>0</v>
      </c>
      <c r="AL303" s="3">
        <f>W303*Feuil2!$H$3</f>
        <v>30.122861749294643</v>
      </c>
      <c r="AM303" s="3">
        <f>X303*Feuil2!$I$2</f>
        <v>0</v>
      </c>
      <c r="AN303" s="3">
        <f>Y303*Feuil2!$J$3</f>
        <v>0</v>
      </c>
      <c r="AO303" s="3">
        <f>Z303*Feuil2!$K$3</f>
        <v>35.78131851400731</v>
      </c>
      <c r="AP303" s="3">
        <f>AA303*Feuil2!$L$3</f>
        <v>0</v>
      </c>
      <c r="AQ303" s="3">
        <f>AB303*Feuil2!$M$3</f>
        <v>0</v>
      </c>
      <c r="AR303" s="3">
        <f>AC303*Feuil2!$N$3</f>
        <v>79.394421162415867</v>
      </c>
    </row>
    <row r="304" spans="1:44" x14ac:dyDescent="0.35">
      <c r="A304" t="s">
        <v>605</v>
      </c>
      <c r="B304" t="s">
        <v>598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70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70</v>
      </c>
      <c r="Q304" s="1">
        <f>C304/$C$434</f>
        <v>0</v>
      </c>
      <c r="R304" s="1">
        <f t="shared" si="61"/>
        <v>0</v>
      </c>
      <c r="S304" s="1">
        <f t="shared" si="65"/>
        <v>0</v>
      </c>
      <c r="T304" s="1">
        <f t="shared" si="66"/>
        <v>0</v>
      </c>
      <c r="U304" s="1">
        <f t="shared" si="67"/>
        <v>0</v>
      </c>
      <c r="V304" s="1">
        <f t="shared" si="68"/>
        <v>0</v>
      </c>
      <c r="W304" s="1">
        <f t="shared" si="69"/>
        <v>1.5674683147476377E-3</v>
      </c>
      <c r="X304" s="1">
        <f t="shared" si="70"/>
        <v>0</v>
      </c>
      <c r="Y304" s="1">
        <f t="shared" si="71"/>
        <v>0</v>
      </c>
      <c r="Z304" s="1">
        <f t="shared" si="62"/>
        <v>0</v>
      </c>
      <c r="AA304" s="1">
        <f t="shared" si="58"/>
        <v>0</v>
      </c>
      <c r="AB304" s="1">
        <f t="shared" si="59"/>
        <v>0</v>
      </c>
      <c r="AC304" s="1">
        <f t="shared" si="60"/>
        <v>1.8435995491082247E-4</v>
      </c>
      <c r="AD304" s="1" t="str">
        <f t="shared" si="63"/>
        <v>m guenier</v>
      </c>
      <c r="AE304" s="1" t="str">
        <f t="shared" si="64"/>
        <v>9133</v>
      </c>
      <c r="AF304" s="3">
        <f>Q304*Feuil2!$B$3</f>
        <v>0</v>
      </c>
      <c r="AG304" s="3">
        <f>R304*Feuil2!$C$3</f>
        <v>0</v>
      </c>
      <c r="AH304" s="3">
        <f>S304*Feuil2!$D$3</f>
        <v>0</v>
      </c>
      <c r="AI304" s="3">
        <f>T304*Feuil2!$E$2</f>
        <v>0</v>
      </c>
      <c r="AJ304" s="3">
        <f>U304*Feuil2!$F$3</f>
        <v>0</v>
      </c>
      <c r="AK304" s="3">
        <f>V304*Feuil2!$G$3</f>
        <v>0</v>
      </c>
      <c r="AL304" s="3">
        <f>W304*Feuil2!$H$3</f>
        <v>56.989197904070949</v>
      </c>
      <c r="AM304" s="3">
        <f>X304*Feuil2!$I$2</f>
        <v>0</v>
      </c>
      <c r="AN304" s="3">
        <f>Y304*Feuil2!$J$3</f>
        <v>0</v>
      </c>
      <c r="AO304" s="3">
        <f>Z304*Feuil2!$K$3</f>
        <v>0</v>
      </c>
      <c r="AP304" s="3">
        <f>AA304*Feuil2!$L$3</f>
        <v>0</v>
      </c>
      <c r="AQ304" s="3">
        <f>AB304*Feuil2!$M$3</f>
        <v>0</v>
      </c>
      <c r="AR304" s="3">
        <f>AC304*Feuil2!$N$3</f>
        <v>77.189020574570975</v>
      </c>
    </row>
    <row r="305" spans="1:44" x14ac:dyDescent="0.35">
      <c r="A305" t="s">
        <v>606</v>
      </c>
      <c r="B305" t="s">
        <v>607</v>
      </c>
      <c r="C305">
        <v>0</v>
      </c>
      <c r="D305">
        <v>70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70</v>
      </c>
      <c r="Q305" s="1">
        <f>C305/$C$434</f>
        <v>0</v>
      </c>
      <c r="R305" s="1">
        <f t="shared" si="61"/>
        <v>2.9508473147289438E-3</v>
      </c>
      <c r="S305" s="1">
        <f t="shared" si="65"/>
        <v>0</v>
      </c>
      <c r="T305" s="1">
        <f t="shared" si="66"/>
        <v>0</v>
      </c>
      <c r="U305" s="1">
        <f t="shared" si="67"/>
        <v>0</v>
      </c>
      <c r="V305" s="1">
        <f t="shared" si="68"/>
        <v>0</v>
      </c>
      <c r="W305" s="1">
        <f t="shared" si="69"/>
        <v>0</v>
      </c>
      <c r="X305" s="1">
        <f t="shared" si="70"/>
        <v>0</v>
      </c>
      <c r="Y305" s="1">
        <f t="shared" si="71"/>
        <v>0</v>
      </c>
      <c r="Z305" s="1">
        <f t="shared" si="62"/>
        <v>0</v>
      </c>
      <c r="AA305" s="1">
        <f t="shared" si="58"/>
        <v>0</v>
      </c>
      <c r="AB305" s="1">
        <f t="shared" si="59"/>
        <v>0</v>
      </c>
      <c r="AC305" s="1">
        <f t="shared" si="60"/>
        <v>1.8435995491082247E-4</v>
      </c>
      <c r="AD305" s="1" t="str">
        <f t="shared" si="63"/>
        <v>N ET M AUTOMOBILES</v>
      </c>
      <c r="AE305" s="1" t="str">
        <f t="shared" si="64"/>
        <v>5184</v>
      </c>
      <c r="AF305" s="3">
        <f>Q305*Feuil2!$B$3</f>
        <v>0</v>
      </c>
      <c r="AG305" s="3">
        <f>R305*Feuil2!$C$3</f>
        <v>104.38598769075121</v>
      </c>
      <c r="AH305" s="3">
        <f>S305*Feuil2!$D$3</f>
        <v>0</v>
      </c>
      <c r="AI305" s="3">
        <f>T305*Feuil2!$E$2</f>
        <v>0</v>
      </c>
      <c r="AJ305" s="3">
        <f>U305*Feuil2!$F$3</f>
        <v>0</v>
      </c>
      <c r="AK305" s="3">
        <f>V305*Feuil2!$G$3</f>
        <v>0</v>
      </c>
      <c r="AL305" s="3">
        <f>W305*Feuil2!$H$3</f>
        <v>0</v>
      </c>
      <c r="AM305" s="3">
        <f>X305*Feuil2!$I$2</f>
        <v>0</v>
      </c>
      <c r="AN305" s="3">
        <f>Y305*Feuil2!$J$3</f>
        <v>0</v>
      </c>
      <c r="AO305" s="3">
        <f>Z305*Feuil2!$K$3</f>
        <v>0</v>
      </c>
      <c r="AP305" s="3">
        <f>AA305*Feuil2!$L$3</f>
        <v>0</v>
      </c>
      <c r="AQ305" s="3">
        <f>AB305*Feuil2!$M$3</f>
        <v>0</v>
      </c>
      <c r="AR305" s="3">
        <f>AC305*Feuil2!$N$3</f>
        <v>77.189020574570975</v>
      </c>
    </row>
    <row r="306" spans="1:44" x14ac:dyDescent="0.35">
      <c r="A306" t="s">
        <v>608</v>
      </c>
      <c r="B306" t="s">
        <v>29</v>
      </c>
      <c r="C306">
        <v>0</v>
      </c>
      <c r="D306">
        <v>17</v>
      </c>
      <c r="E306">
        <v>0</v>
      </c>
      <c r="F306">
        <v>35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17</v>
      </c>
      <c r="M306">
        <v>0</v>
      </c>
      <c r="N306">
        <v>0</v>
      </c>
      <c r="O306">
        <v>69</v>
      </c>
      <c r="Q306" s="1">
        <f>C306/$C$434</f>
        <v>0</v>
      </c>
      <c r="R306" s="1">
        <f t="shared" si="61"/>
        <v>7.1663434786274345E-4</v>
      </c>
      <c r="S306" s="1">
        <f t="shared" si="65"/>
        <v>0</v>
      </c>
      <c r="T306" s="1">
        <f t="shared" si="66"/>
        <v>1.4054531582540256E-3</v>
      </c>
      <c r="U306" s="1">
        <f t="shared" si="67"/>
        <v>0</v>
      </c>
      <c r="V306" s="1">
        <f t="shared" si="68"/>
        <v>0</v>
      </c>
      <c r="W306" s="1">
        <f t="shared" si="69"/>
        <v>0</v>
      </c>
      <c r="X306" s="1">
        <f t="shared" si="70"/>
        <v>0</v>
      </c>
      <c r="Y306" s="1">
        <f t="shared" si="71"/>
        <v>0</v>
      </c>
      <c r="Z306" s="1">
        <f t="shared" si="62"/>
        <v>4.3138449045879011E-4</v>
      </c>
      <c r="AA306" s="1">
        <f t="shared" si="58"/>
        <v>0</v>
      </c>
      <c r="AB306" s="1">
        <f t="shared" si="59"/>
        <v>0</v>
      </c>
      <c r="AC306" s="1">
        <f t="shared" si="60"/>
        <v>1.8172624126923929E-4</v>
      </c>
      <c r="AD306" s="1" t="str">
        <f t="shared" si="63"/>
        <v>GARAGE AMAND</v>
      </c>
      <c r="AE306" s="1" t="str">
        <f t="shared" si="64"/>
        <v>3001</v>
      </c>
      <c r="AF306" s="3">
        <f>Q306*Feuil2!$B$3</f>
        <v>0</v>
      </c>
      <c r="AG306" s="3">
        <f>R306*Feuil2!$C$3</f>
        <v>25.350882724896721</v>
      </c>
      <c r="AH306" s="3">
        <f>S306*Feuil2!$D$3</f>
        <v>0</v>
      </c>
      <c r="AI306" s="3">
        <f>T306*Feuil2!$E$2</f>
        <v>52.680600730835643</v>
      </c>
      <c r="AJ306" s="3">
        <f>U306*Feuil2!$F$3</f>
        <v>0</v>
      </c>
      <c r="AK306" s="3">
        <f>V306*Feuil2!$G$3</f>
        <v>0</v>
      </c>
      <c r="AL306" s="3">
        <f>W306*Feuil2!$H$3</f>
        <v>0</v>
      </c>
      <c r="AM306" s="3">
        <f>X306*Feuil2!$I$2</f>
        <v>0</v>
      </c>
      <c r="AN306" s="3">
        <f>Y306*Feuil2!$J$3</f>
        <v>0</v>
      </c>
      <c r="AO306" s="3">
        <f>Z306*Feuil2!$K$3</f>
        <v>17.379497563946408</v>
      </c>
      <c r="AP306" s="3">
        <f>AA306*Feuil2!$L$3</f>
        <v>0</v>
      </c>
      <c r="AQ306" s="3">
        <f>AB306*Feuil2!$M$3</f>
        <v>0</v>
      </c>
      <c r="AR306" s="3">
        <f>AC306*Feuil2!$N$3</f>
        <v>76.086320280648536</v>
      </c>
    </row>
    <row r="307" spans="1:44" x14ac:dyDescent="0.35">
      <c r="A307" t="s">
        <v>609</v>
      </c>
      <c r="B307" t="s">
        <v>610</v>
      </c>
      <c r="C307">
        <v>25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42</v>
      </c>
      <c r="M307">
        <v>0</v>
      </c>
      <c r="N307">
        <v>0</v>
      </c>
      <c r="O307">
        <v>67</v>
      </c>
      <c r="Q307" s="1">
        <f>C307/$C$434</f>
        <v>6.1714680688242118E-4</v>
      </c>
      <c r="R307" s="1">
        <f t="shared" si="61"/>
        <v>0</v>
      </c>
      <c r="S307" s="1">
        <f t="shared" si="65"/>
        <v>0</v>
      </c>
      <c r="T307" s="1">
        <f t="shared" si="66"/>
        <v>0</v>
      </c>
      <c r="U307" s="1">
        <f t="shared" si="67"/>
        <v>0</v>
      </c>
      <c r="V307" s="1">
        <f t="shared" si="68"/>
        <v>0</v>
      </c>
      <c r="W307" s="1">
        <f t="shared" si="69"/>
        <v>0</v>
      </c>
      <c r="X307" s="1">
        <f t="shared" si="70"/>
        <v>0</v>
      </c>
      <c r="Y307" s="1">
        <f t="shared" si="71"/>
        <v>0</v>
      </c>
      <c r="Z307" s="1">
        <f t="shared" si="62"/>
        <v>1.0657734470158344E-3</v>
      </c>
      <c r="AA307" s="1">
        <f t="shared" si="58"/>
        <v>0</v>
      </c>
      <c r="AB307" s="1">
        <f t="shared" si="59"/>
        <v>0</v>
      </c>
      <c r="AC307" s="1">
        <f t="shared" si="60"/>
        <v>1.7645881398607293E-4</v>
      </c>
      <c r="AD307" s="1" t="str">
        <f t="shared" si="63"/>
        <v>L AUTO ENTRETIEN</v>
      </c>
      <c r="AE307" s="1" t="str">
        <f t="shared" si="64"/>
        <v>3407</v>
      </c>
      <c r="AF307" s="3">
        <f>Q307*Feuil2!$B$3</f>
        <v>21.831518921721099</v>
      </c>
      <c r="AG307" s="3">
        <f>R307*Feuil2!$C$3</f>
        <v>0</v>
      </c>
      <c r="AH307" s="3">
        <f>S307*Feuil2!$D$3</f>
        <v>0</v>
      </c>
      <c r="AI307" s="3">
        <f>T307*Feuil2!$E$2</f>
        <v>0</v>
      </c>
      <c r="AJ307" s="3">
        <f>U307*Feuil2!$F$3</f>
        <v>0</v>
      </c>
      <c r="AK307" s="3">
        <f>V307*Feuil2!$G$3</f>
        <v>0</v>
      </c>
      <c r="AL307" s="3">
        <f>W307*Feuil2!$H$3</f>
        <v>0</v>
      </c>
      <c r="AM307" s="3">
        <f>X307*Feuil2!$I$2</f>
        <v>0</v>
      </c>
      <c r="AN307" s="3">
        <f>Y307*Feuil2!$J$3</f>
        <v>0</v>
      </c>
      <c r="AO307" s="3">
        <f>Z307*Feuil2!$K$3</f>
        <v>42.937582216808771</v>
      </c>
      <c r="AP307" s="3">
        <f>AA307*Feuil2!$L$3</f>
        <v>0</v>
      </c>
      <c r="AQ307" s="3">
        <f>AB307*Feuil2!$M$3</f>
        <v>0</v>
      </c>
      <c r="AR307" s="3">
        <f>AC307*Feuil2!$N$3</f>
        <v>73.880919692803658</v>
      </c>
    </row>
    <row r="308" spans="1:44" x14ac:dyDescent="0.35">
      <c r="A308" t="s">
        <v>611</v>
      </c>
      <c r="B308" t="s">
        <v>612</v>
      </c>
      <c r="C308">
        <v>43</v>
      </c>
      <c r="D308">
        <v>0</v>
      </c>
      <c r="E308">
        <v>0</v>
      </c>
      <c r="F308">
        <v>22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65</v>
      </c>
      <c r="Q308" s="1">
        <f>C308/$C$434</f>
        <v>1.0614925078377645E-3</v>
      </c>
      <c r="R308" s="1">
        <f t="shared" si="61"/>
        <v>0</v>
      </c>
      <c r="S308" s="1">
        <f t="shared" si="65"/>
        <v>0</v>
      </c>
      <c r="T308" s="1">
        <f t="shared" si="66"/>
        <v>8.83427699473959E-4</v>
      </c>
      <c r="U308" s="1">
        <f t="shared" si="67"/>
        <v>0</v>
      </c>
      <c r="V308" s="1">
        <f t="shared" si="68"/>
        <v>0</v>
      </c>
      <c r="W308" s="1">
        <f t="shared" si="69"/>
        <v>0</v>
      </c>
      <c r="X308" s="1">
        <f t="shared" si="70"/>
        <v>0</v>
      </c>
      <c r="Y308" s="1">
        <f t="shared" si="71"/>
        <v>0</v>
      </c>
      <c r="Z308" s="1">
        <f t="shared" si="62"/>
        <v>0</v>
      </c>
      <c r="AA308" s="1">
        <f t="shared" si="58"/>
        <v>0</v>
      </c>
      <c r="AB308" s="1">
        <f t="shared" si="59"/>
        <v>0</v>
      </c>
      <c r="AC308" s="1">
        <f t="shared" si="60"/>
        <v>1.7119138670290658E-4</v>
      </c>
      <c r="AD308" s="1" t="str">
        <f t="shared" si="63"/>
        <v>DEBOSS ECLAIR - SOLIERS AUTOMO</v>
      </c>
      <c r="AE308" s="1" t="str">
        <f t="shared" si="64"/>
        <v>3765</v>
      </c>
      <c r="AF308" s="3">
        <f>Q308*Feuil2!$B$3</f>
        <v>37.550212545360289</v>
      </c>
      <c r="AG308" s="3">
        <f>R308*Feuil2!$C$3</f>
        <v>0</v>
      </c>
      <c r="AH308" s="3">
        <f>S308*Feuil2!$D$3</f>
        <v>0</v>
      </c>
      <c r="AI308" s="3">
        <f>T308*Feuil2!$E$2</f>
        <v>33.113520459382407</v>
      </c>
      <c r="AJ308" s="3">
        <f>U308*Feuil2!$F$3</f>
        <v>0</v>
      </c>
      <c r="AK308" s="3">
        <f>V308*Feuil2!$G$3</f>
        <v>0</v>
      </c>
      <c r="AL308" s="3">
        <f>W308*Feuil2!$H$3</f>
        <v>0</v>
      </c>
      <c r="AM308" s="3">
        <f>X308*Feuil2!$I$2</f>
        <v>0</v>
      </c>
      <c r="AN308" s="3">
        <f>Y308*Feuil2!$J$3</f>
        <v>0</v>
      </c>
      <c r="AO308" s="3">
        <f>Z308*Feuil2!$K$3</f>
        <v>0</v>
      </c>
      <c r="AP308" s="3">
        <f>AA308*Feuil2!$L$3</f>
        <v>0</v>
      </c>
      <c r="AQ308" s="3">
        <f>AB308*Feuil2!$M$3</f>
        <v>0</v>
      </c>
      <c r="AR308" s="3">
        <f>AC308*Feuil2!$N$3</f>
        <v>71.675519104958767</v>
      </c>
    </row>
    <row r="309" spans="1:44" x14ac:dyDescent="0.35">
      <c r="A309" t="s">
        <v>613</v>
      </c>
      <c r="B309" t="s">
        <v>614</v>
      </c>
      <c r="C309">
        <v>0</v>
      </c>
      <c r="D309">
        <v>0</v>
      </c>
      <c r="E309">
        <v>0</v>
      </c>
      <c r="F309">
        <v>15</v>
      </c>
      <c r="G309">
        <v>50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65</v>
      </c>
      <c r="Q309" s="1">
        <f>C309/$C$434</f>
        <v>0</v>
      </c>
      <c r="R309" s="1">
        <f t="shared" si="61"/>
        <v>0</v>
      </c>
      <c r="S309" s="1">
        <f t="shared" si="65"/>
        <v>0</v>
      </c>
      <c r="T309" s="1">
        <f t="shared" si="66"/>
        <v>6.0233706782315388E-4</v>
      </c>
      <c r="U309" s="1">
        <f t="shared" si="67"/>
        <v>2.3834493278672895E-3</v>
      </c>
      <c r="V309" s="1">
        <f t="shared" si="68"/>
        <v>0</v>
      </c>
      <c r="W309" s="1">
        <f t="shared" si="69"/>
        <v>0</v>
      </c>
      <c r="X309" s="1">
        <f t="shared" si="70"/>
        <v>0</v>
      </c>
      <c r="Y309" s="1">
        <f t="shared" si="71"/>
        <v>0</v>
      </c>
      <c r="Z309" s="1">
        <f t="shared" si="62"/>
        <v>0</v>
      </c>
      <c r="AA309" s="1">
        <f t="shared" si="58"/>
        <v>0</v>
      </c>
      <c r="AB309" s="1">
        <f t="shared" si="59"/>
        <v>0</v>
      </c>
      <c r="AC309" s="1">
        <f t="shared" si="60"/>
        <v>1.7119138670290658E-4</v>
      </c>
      <c r="AD309" s="1" t="str">
        <f t="shared" si="63"/>
        <v>DES GRANDS PRES SARL</v>
      </c>
      <c r="AE309" s="1" t="str">
        <f t="shared" si="64"/>
        <v>3795</v>
      </c>
      <c r="AF309" s="3">
        <f>Q309*Feuil2!$B$3</f>
        <v>0</v>
      </c>
      <c r="AG309" s="3">
        <f>R309*Feuil2!$C$3</f>
        <v>0</v>
      </c>
      <c r="AH309" s="3">
        <f>S309*Feuil2!$D$3</f>
        <v>0</v>
      </c>
      <c r="AI309" s="3">
        <f>T309*Feuil2!$E$2</f>
        <v>22.577400313215275</v>
      </c>
      <c r="AJ309" s="3">
        <f>U309*Feuil2!$F$3</f>
        <v>60.893316808084663</v>
      </c>
      <c r="AK309" s="3">
        <f>V309*Feuil2!$G$3</f>
        <v>0</v>
      </c>
      <c r="AL309" s="3">
        <f>W309*Feuil2!$H$3</f>
        <v>0</v>
      </c>
      <c r="AM309" s="3">
        <f>X309*Feuil2!$I$2</f>
        <v>0</v>
      </c>
      <c r="AN309" s="3">
        <f>Y309*Feuil2!$J$3</f>
        <v>0</v>
      </c>
      <c r="AO309" s="3">
        <f>Z309*Feuil2!$K$3</f>
        <v>0</v>
      </c>
      <c r="AP309" s="3">
        <f>AA309*Feuil2!$L$3</f>
        <v>0</v>
      </c>
      <c r="AQ309" s="3">
        <f>AB309*Feuil2!$M$3</f>
        <v>0</v>
      </c>
      <c r="AR309" s="3">
        <f>AC309*Feuil2!$N$3</f>
        <v>71.675519104958767</v>
      </c>
    </row>
    <row r="310" spans="1:44" x14ac:dyDescent="0.35">
      <c r="A310" t="s">
        <v>615</v>
      </c>
      <c r="B310" t="s">
        <v>616</v>
      </c>
      <c r="C310">
        <v>26</v>
      </c>
      <c r="D310">
        <v>0</v>
      </c>
      <c r="E310">
        <v>0</v>
      </c>
      <c r="F310">
        <v>9</v>
      </c>
      <c r="G310">
        <v>30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65</v>
      </c>
      <c r="Q310" s="1">
        <f>C310/$C$434</f>
        <v>6.4183267915771808E-4</v>
      </c>
      <c r="R310" s="1">
        <f t="shared" si="61"/>
        <v>0</v>
      </c>
      <c r="S310" s="1">
        <f t="shared" si="65"/>
        <v>0</v>
      </c>
      <c r="T310" s="1">
        <f t="shared" si="66"/>
        <v>3.6140224069389231E-4</v>
      </c>
      <c r="U310" s="1">
        <f t="shared" si="67"/>
        <v>1.4300695967203738E-3</v>
      </c>
      <c r="V310" s="1">
        <f t="shared" si="68"/>
        <v>0</v>
      </c>
      <c r="W310" s="1">
        <f t="shared" si="69"/>
        <v>0</v>
      </c>
      <c r="X310" s="1">
        <f t="shared" si="70"/>
        <v>0</v>
      </c>
      <c r="Y310" s="1">
        <f t="shared" si="71"/>
        <v>0</v>
      </c>
      <c r="Z310" s="1">
        <f t="shared" si="62"/>
        <v>0</v>
      </c>
      <c r="AA310" s="1">
        <f t="shared" si="58"/>
        <v>0</v>
      </c>
      <c r="AB310" s="1">
        <f t="shared" si="59"/>
        <v>0</v>
      </c>
      <c r="AC310" s="1">
        <f t="shared" si="60"/>
        <v>1.7119138670290658E-4</v>
      </c>
      <c r="AD310" s="1" t="str">
        <f t="shared" si="63"/>
        <v>JULIEN AUTOMOBILES</v>
      </c>
      <c r="AE310" s="1" t="str">
        <f t="shared" si="64"/>
        <v>6598</v>
      </c>
      <c r="AF310" s="3">
        <f>Q310*Feuil2!$B$3</f>
        <v>22.704779678589944</v>
      </c>
      <c r="AG310" s="3">
        <f>R310*Feuil2!$C$3</f>
        <v>0</v>
      </c>
      <c r="AH310" s="3">
        <f>S310*Feuil2!$D$3</f>
        <v>0</v>
      </c>
      <c r="AI310" s="3">
        <f>T310*Feuil2!$E$2</f>
        <v>13.546440187929166</v>
      </c>
      <c r="AJ310" s="3">
        <f>U310*Feuil2!$F$3</f>
        <v>36.535990084850802</v>
      </c>
      <c r="AK310" s="3">
        <f>V310*Feuil2!$G$3</f>
        <v>0</v>
      </c>
      <c r="AL310" s="3">
        <f>W310*Feuil2!$H$3</f>
        <v>0</v>
      </c>
      <c r="AM310" s="3">
        <f>X310*Feuil2!$I$2</f>
        <v>0</v>
      </c>
      <c r="AN310" s="3">
        <f>Y310*Feuil2!$J$3</f>
        <v>0</v>
      </c>
      <c r="AO310" s="3">
        <f>Z310*Feuil2!$K$3</f>
        <v>0</v>
      </c>
      <c r="AP310" s="3">
        <f>AA310*Feuil2!$L$3</f>
        <v>0</v>
      </c>
      <c r="AQ310" s="3">
        <f>AB310*Feuil2!$M$3</f>
        <v>0</v>
      </c>
      <c r="AR310" s="3">
        <f>AC310*Feuil2!$N$3</f>
        <v>71.675519104958767</v>
      </c>
    </row>
    <row r="311" spans="1:44" x14ac:dyDescent="0.35">
      <c r="A311" t="s">
        <v>617</v>
      </c>
      <c r="B311" t="s">
        <v>618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64</v>
      </c>
      <c r="M311">
        <v>0</v>
      </c>
      <c r="N311">
        <v>0</v>
      </c>
      <c r="O311">
        <v>64</v>
      </c>
      <c r="Q311" s="1">
        <f>C311/$C$434</f>
        <v>0</v>
      </c>
      <c r="R311" s="1">
        <f t="shared" si="61"/>
        <v>0</v>
      </c>
      <c r="S311" s="1">
        <f t="shared" si="65"/>
        <v>0</v>
      </c>
      <c r="T311" s="1">
        <f t="shared" si="66"/>
        <v>0</v>
      </c>
      <c r="U311" s="1">
        <f t="shared" si="67"/>
        <v>0</v>
      </c>
      <c r="V311" s="1">
        <f t="shared" si="68"/>
        <v>0</v>
      </c>
      <c r="W311" s="1">
        <f t="shared" si="69"/>
        <v>0</v>
      </c>
      <c r="X311" s="1">
        <f t="shared" si="70"/>
        <v>0</v>
      </c>
      <c r="Y311" s="1">
        <f t="shared" si="71"/>
        <v>0</v>
      </c>
      <c r="Z311" s="1">
        <f t="shared" si="62"/>
        <v>1.6240357287860333E-3</v>
      </c>
      <c r="AA311" s="1">
        <f t="shared" si="58"/>
        <v>0</v>
      </c>
      <c r="AB311" s="1">
        <f t="shared" si="59"/>
        <v>0</v>
      </c>
      <c r="AC311" s="1">
        <f t="shared" si="60"/>
        <v>1.685576730613234E-4</v>
      </c>
      <c r="AD311" s="1" t="str">
        <f t="shared" si="63"/>
        <v>PIERRE</v>
      </c>
      <c r="AE311" s="1" t="str">
        <f t="shared" si="64"/>
        <v>5218</v>
      </c>
      <c r="AF311" s="3">
        <f>Q311*Feuil2!$B$3</f>
        <v>0</v>
      </c>
      <c r="AG311" s="3">
        <f>R311*Feuil2!$C$3</f>
        <v>0</v>
      </c>
      <c r="AH311" s="3">
        <f>S311*Feuil2!$D$3</f>
        <v>0</v>
      </c>
      <c r="AI311" s="3">
        <f>T311*Feuil2!$E$2</f>
        <v>0</v>
      </c>
      <c r="AJ311" s="3">
        <f>U311*Feuil2!$F$3</f>
        <v>0</v>
      </c>
      <c r="AK311" s="3">
        <f>V311*Feuil2!$G$3</f>
        <v>0</v>
      </c>
      <c r="AL311" s="3">
        <f>W311*Feuil2!$H$3</f>
        <v>0</v>
      </c>
      <c r="AM311" s="3">
        <f>X311*Feuil2!$I$2</f>
        <v>0</v>
      </c>
      <c r="AN311" s="3">
        <f>Y311*Feuil2!$J$3</f>
        <v>0</v>
      </c>
      <c r="AO311" s="3">
        <f>Z311*Feuil2!$K$3</f>
        <v>65.428696711327646</v>
      </c>
      <c r="AP311" s="3">
        <f>AA311*Feuil2!$L$3</f>
        <v>0</v>
      </c>
      <c r="AQ311" s="3">
        <f>AB311*Feuil2!$M$3</f>
        <v>0</v>
      </c>
      <c r="AR311" s="3">
        <f>AC311*Feuil2!$N$3</f>
        <v>70.572818811036328</v>
      </c>
    </row>
    <row r="312" spans="1:44" x14ac:dyDescent="0.35">
      <c r="A312" t="s">
        <v>619</v>
      </c>
      <c r="B312" t="s">
        <v>620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63</v>
      </c>
      <c r="N312">
        <v>0</v>
      </c>
      <c r="O312">
        <v>63</v>
      </c>
      <c r="Q312" s="1">
        <f>C312/$C$434</f>
        <v>0</v>
      </c>
      <c r="R312" s="1">
        <f t="shared" si="61"/>
        <v>0</v>
      </c>
      <c r="S312" s="1">
        <f t="shared" si="65"/>
        <v>0</v>
      </c>
      <c r="T312" s="1">
        <f t="shared" si="66"/>
        <v>0</v>
      </c>
      <c r="U312" s="1">
        <f t="shared" si="67"/>
        <v>0</v>
      </c>
      <c r="V312" s="1">
        <f t="shared" si="68"/>
        <v>0</v>
      </c>
      <c r="W312" s="1">
        <f t="shared" si="69"/>
        <v>0</v>
      </c>
      <c r="X312" s="1">
        <f t="shared" si="70"/>
        <v>0</v>
      </c>
      <c r="Y312" s="1">
        <f t="shared" si="71"/>
        <v>0</v>
      </c>
      <c r="Z312" s="1">
        <f t="shared" si="62"/>
        <v>0</v>
      </c>
      <c r="AA312" s="1">
        <f t="shared" si="58"/>
        <v>1.5772475777983627E-3</v>
      </c>
      <c r="AB312" s="1">
        <f t="shared" si="59"/>
        <v>0</v>
      </c>
      <c r="AC312" s="1">
        <f t="shared" si="60"/>
        <v>1.6592395941974022E-4</v>
      </c>
      <c r="AD312" s="1" t="str">
        <f t="shared" si="63"/>
        <v>GARAGE DE LA SUISSE NORMANDE</v>
      </c>
      <c r="AE312" s="1" t="str">
        <f t="shared" si="64"/>
        <v>3714</v>
      </c>
      <c r="AF312" s="3">
        <f>Q312*Feuil2!$B$3</f>
        <v>0</v>
      </c>
      <c r="AG312" s="3">
        <f>R312*Feuil2!$C$3</f>
        <v>0</v>
      </c>
      <c r="AH312" s="3">
        <f>S312*Feuil2!$D$3</f>
        <v>0</v>
      </c>
      <c r="AI312" s="3">
        <f>T312*Feuil2!$E$2</f>
        <v>0</v>
      </c>
      <c r="AJ312" s="3">
        <f>U312*Feuil2!$F$3</f>
        <v>0</v>
      </c>
      <c r="AK312" s="3">
        <f>V312*Feuil2!$G$3</f>
        <v>0</v>
      </c>
      <c r="AL312" s="3">
        <f>W312*Feuil2!$H$3</f>
        <v>0</v>
      </c>
      <c r="AM312" s="3">
        <f>X312*Feuil2!$I$2</f>
        <v>0</v>
      </c>
      <c r="AN312" s="3">
        <f>Y312*Feuil2!$J$3</f>
        <v>0</v>
      </c>
      <c r="AO312" s="3">
        <f>Z312*Feuil2!$K$3</f>
        <v>0</v>
      </c>
      <c r="AP312" s="3">
        <f>AA312*Feuil2!$L$3</f>
        <v>57.344747264852423</v>
      </c>
      <c r="AQ312" s="3">
        <f>AB312*Feuil2!$M$3</f>
        <v>0</v>
      </c>
      <c r="AR312" s="3">
        <f>AC312*Feuil2!$N$3</f>
        <v>69.470118517113875</v>
      </c>
    </row>
    <row r="313" spans="1:44" x14ac:dyDescent="0.35">
      <c r="A313" t="s">
        <v>621</v>
      </c>
      <c r="B313" t="s">
        <v>622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32</v>
      </c>
      <c r="L313">
        <v>18</v>
      </c>
      <c r="M313">
        <v>13</v>
      </c>
      <c r="N313">
        <v>0</v>
      </c>
      <c r="O313">
        <v>63</v>
      </c>
      <c r="Q313" s="1">
        <f>C313/$C$434</f>
        <v>0</v>
      </c>
      <c r="R313" s="1">
        <f t="shared" si="61"/>
        <v>0</v>
      </c>
      <c r="S313" s="1">
        <f t="shared" si="65"/>
        <v>0</v>
      </c>
      <c r="T313" s="1">
        <f t="shared" si="66"/>
        <v>0</v>
      </c>
      <c r="U313" s="1">
        <f t="shared" si="67"/>
        <v>0</v>
      </c>
      <c r="V313" s="1">
        <f t="shared" si="68"/>
        <v>0</v>
      </c>
      <c r="W313" s="1">
        <f t="shared" si="69"/>
        <v>0</v>
      </c>
      <c r="X313" s="1">
        <f t="shared" si="70"/>
        <v>0</v>
      </c>
      <c r="Y313" s="1">
        <f t="shared" si="71"/>
        <v>8.1897985821411203E-4</v>
      </c>
      <c r="Z313" s="1">
        <f t="shared" si="62"/>
        <v>4.5676004872107184E-4</v>
      </c>
      <c r="AA313" s="1">
        <f t="shared" si="58"/>
        <v>3.2546378589490022E-4</v>
      </c>
      <c r="AB313" s="1">
        <f t="shared" si="59"/>
        <v>0</v>
      </c>
      <c r="AC313" s="1">
        <f t="shared" si="60"/>
        <v>1.6592395941974022E-4</v>
      </c>
      <c r="AD313" s="1" t="str">
        <f t="shared" si="63"/>
        <v>P2B AUTO</v>
      </c>
      <c r="AE313" s="1" t="str">
        <f t="shared" si="64"/>
        <v>5414</v>
      </c>
      <c r="AF313" s="3">
        <f>Q313*Feuil2!$B$3</f>
        <v>0</v>
      </c>
      <c r="AG313" s="3">
        <f>R313*Feuil2!$C$3</f>
        <v>0</v>
      </c>
      <c r="AH313" s="3">
        <f>S313*Feuil2!$D$3</f>
        <v>0</v>
      </c>
      <c r="AI313" s="3">
        <f>T313*Feuil2!$E$2</f>
        <v>0</v>
      </c>
      <c r="AJ313" s="3">
        <f>U313*Feuil2!$F$3</f>
        <v>0</v>
      </c>
      <c r="AK313" s="3">
        <f>V313*Feuil2!$G$3</f>
        <v>0</v>
      </c>
      <c r="AL313" s="3">
        <f>W313*Feuil2!$H$3</f>
        <v>0</v>
      </c>
      <c r="AM313" s="3">
        <f>X313*Feuil2!$I$2</f>
        <v>0</v>
      </c>
      <c r="AN313" s="3">
        <f>Y313*Feuil2!$J$3</f>
        <v>34.604224912343568</v>
      </c>
      <c r="AO313" s="3">
        <f>Z313*Feuil2!$K$3</f>
        <v>18.401820950060902</v>
      </c>
      <c r="AP313" s="3">
        <f>AA313*Feuil2!$L$3</f>
        <v>11.833043086398117</v>
      </c>
      <c r="AQ313" s="3">
        <f>AB313*Feuil2!$M$3</f>
        <v>0</v>
      </c>
      <c r="AR313" s="3">
        <f>AC313*Feuil2!$N$3</f>
        <v>69.470118517113875</v>
      </c>
    </row>
    <row r="314" spans="1:44" x14ac:dyDescent="0.35">
      <c r="A314" t="s">
        <v>623</v>
      </c>
      <c r="B314" t="s">
        <v>624</v>
      </c>
      <c r="C314">
        <v>15</v>
      </c>
      <c r="D314">
        <v>32</v>
      </c>
      <c r="E314">
        <v>0</v>
      </c>
      <c r="F314">
        <v>0</v>
      </c>
      <c r="G314">
        <v>9</v>
      </c>
      <c r="H314">
        <v>0</v>
      </c>
      <c r="I314">
        <v>0</v>
      </c>
      <c r="J314">
        <v>0</v>
      </c>
      <c r="K314">
        <v>0</v>
      </c>
      <c r="L314">
        <v>6</v>
      </c>
      <c r="M314">
        <v>0</v>
      </c>
      <c r="N314">
        <v>0</v>
      </c>
      <c r="O314">
        <v>62</v>
      </c>
      <c r="Q314" s="1">
        <f>C314/$C$434</f>
        <v>3.7028808412945273E-4</v>
      </c>
      <c r="R314" s="1">
        <f t="shared" si="61"/>
        <v>1.3489587724475171E-3</v>
      </c>
      <c r="S314" s="1">
        <f t="shared" si="65"/>
        <v>0</v>
      </c>
      <c r="T314" s="1">
        <f t="shared" si="66"/>
        <v>0</v>
      </c>
      <c r="U314" s="1">
        <f t="shared" si="67"/>
        <v>4.2902087901611213E-4</v>
      </c>
      <c r="V314" s="1">
        <f t="shared" si="68"/>
        <v>0</v>
      </c>
      <c r="W314" s="1">
        <f t="shared" si="69"/>
        <v>0</v>
      </c>
      <c r="X314" s="1">
        <f t="shared" si="70"/>
        <v>0</v>
      </c>
      <c r="Y314" s="1">
        <f t="shared" si="71"/>
        <v>0</v>
      </c>
      <c r="Z314" s="1">
        <f t="shared" si="62"/>
        <v>1.5225334957369061E-4</v>
      </c>
      <c r="AA314" s="1">
        <f t="shared" si="58"/>
        <v>0</v>
      </c>
      <c r="AB314" s="1">
        <f t="shared" si="59"/>
        <v>0</v>
      </c>
      <c r="AC314" s="1">
        <f t="shared" si="60"/>
        <v>1.6329024577815704E-4</v>
      </c>
      <c r="AD314" s="1" t="str">
        <f t="shared" si="63"/>
        <v>HELAINE SARL</v>
      </c>
      <c r="AE314" s="1" t="str">
        <f t="shared" si="64"/>
        <v>3284</v>
      </c>
      <c r="AF314" s="3">
        <f>Q314*Feuil2!$B$3</f>
        <v>13.098911353032658</v>
      </c>
      <c r="AG314" s="3">
        <f>R314*Feuil2!$C$3</f>
        <v>47.719308658629117</v>
      </c>
      <c r="AH314" s="3">
        <f>S314*Feuil2!$D$3</f>
        <v>0</v>
      </c>
      <c r="AI314" s="3">
        <f>T314*Feuil2!$E$2</f>
        <v>0</v>
      </c>
      <c r="AJ314" s="3">
        <f>U314*Feuil2!$F$3</f>
        <v>10.960797025455239</v>
      </c>
      <c r="AK314" s="3">
        <f>V314*Feuil2!$G$3</f>
        <v>0</v>
      </c>
      <c r="AL314" s="3">
        <f>W314*Feuil2!$H$3</f>
        <v>0</v>
      </c>
      <c r="AM314" s="3">
        <f>X314*Feuil2!$I$2</f>
        <v>0</v>
      </c>
      <c r="AN314" s="3">
        <f>Y314*Feuil2!$J$3</f>
        <v>0</v>
      </c>
      <c r="AO314" s="3">
        <f>Z314*Feuil2!$K$3</f>
        <v>6.1339403166869673</v>
      </c>
      <c r="AP314" s="3">
        <f>AA314*Feuil2!$L$3</f>
        <v>0</v>
      </c>
      <c r="AQ314" s="3">
        <f>AB314*Feuil2!$M$3</f>
        <v>0</v>
      </c>
      <c r="AR314" s="3">
        <f>AC314*Feuil2!$N$3</f>
        <v>68.367418223191436</v>
      </c>
    </row>
    <row r="315" spans="1:44" x14ac:dyDescent="0.35">
      <c r="A315" t="s">
        <v>625</v>
      </c>
      <c r="B315" t="s">
        <v>626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26</v>
      </c>
      <c r="L315">
        <v>36</v>
      </c>
      <c r="M315">
        <v>0</v>
      </c>
      <c r="N315">
        <v>0</v>
      </c>
      <c r="O315">
        <v>62</v>
      </c>
      <c r="Q315" s="1">
        <f>C315/$C$434</f>
        <v>0</v>
      </c>
      <c r="R315" s="1">
        <f t="shared" si="61"/>
        <v>0</v>
      </c>
      <c r="S315" s="1">
        <f t="shared" si="65"/>
        <v>0</v>
      </c>
      <c r="T315" s="1">
        <f t="shared" si="66"/>
        <v>0</v>
      </c>
      <c r="U315" s="1">
        <f t="shared" si="67"/>
        <v>0</v>
      </c>
      <c r="V315" s="1">
        <f t="shared" si="68"/>
        <v>0</v>
      </c>
      <c r="W315" s="1">
        <f t="shared" si="69"/>
        <v>0</v>
      </c>
      <c r="X315" s="1">
        <f t="shared" si="70"/>
        <v>0</v>
      </c>
      <c r="Y315" s="1">
        <f t="shared" si="71"/>
        <v>6.6542113479896607E-4</v>
      </c>
      <c r="Z315" s="1">
        <f t="shared" si="62"/>
        <v>9.1352009744214368E-4</v>
      </c>
      <c r="AA315" s="1">
        <f t="shared" si="58"/>
        <v>0</v>
      </c>
      <c r="AB315" s="1">
        <f t="shared" si="59"/>
        <v>0</v>
      </c>
      <c r="AC315" s="1">
        <f t="shared" si="60"/>
        <v>1.6329024577815704E-4</v>
      </c>
      <c r="AD315" s="1" t="str">
        <f t="shared" si="63"/>
        <v>SOS MECANO</v>
      </c>
      <c r="AE315" s="1" t="str">
        <f t="shared" si="64"/>
        <v>5343</v>
      </c>
      <c r="AF315" s="3">
        <f>Q315*Feuil2!$B$3</f>
        <v>0</v>
      </c>
      <c r="AG315" s="3">
        <f>R315*Feuil2!$C$3</f>
        <v>0</v>
      </c>
      <c r="AH315" s="3">
        <f>S315*Feuil2!$D$3</f>
        <v>0</v>
      </c>
      <c r="AI315" s="3">
        <f>T315*Feuil2!$E$2</f>
        <v>0</v>
      </c>
      <c r="AJ315" s="3">
        <f>U315*Feuil2!$F$3</f>
        <v>0</v>
      </c>
      <c r="AK315" s="3">
        <f>V315*Feuil2!$G$3</f>
        <v>0</v>
      </c>
      <c r="AL315" s="3">
        <f>W315*Feuil2!$H$3</f>
        <v>0</v>
      </c>
      <c r="AM315" s="3">
        <f>X315*Feuil2!$I$2</f>
        <v>0</v>
      </c>
      <c r="AN315" s="3">
        <f>Y315*Feuil2!$J$3</f>
        <v>28.115932741279149</v>
      </c>
      <c r="AO315" s="3">
        <f>Z315*Feuil2!$K$3</f>
        <v>36.803641900121804</v>
      </c>
      <c r="AP315" s="3">
        <f>AA315*Feuil2!$L$3</f>
        <v>0</v>
      </c>
      <c r="AQ315" s="3">
        <f>AB315*Feuil2!$M$3</f>
        <v>0</v>
      </c>
      <c r="AR315" s="3">
        <f>AC315*Feuil2!$N$3</f>
        <v>68.367418223191436</v>
      </c>
    </row>
    <row r="316" spans="1:44" x14ac:dyDescent="0.35">
      <c r="A316" t="s">
        <v>199</v>
      </c>
      <c r="B316" t="s">
        <v>627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46</v>
      </c>
      <c r="J316">
        <v>0</v>
      </c>
      <c r="K316">
        <v>15</v>
      </c>
      <c r="L316">
        <v>0</v>
      </c>
      <c r="M316">
        <v>0</v>
      </c>
      <c r="N316">
        <v>0</v>
      </c>
      <c r="O316">
        <v>61</v>
      </c>
      <c r="Q316" s="1">
        <f>C316/$C$434</f>
        <v>0</v>
      </c>
      <c r="R316" s="1">
        <f t="shared" si="61"/>
        <v>0</v>
      </c>
      <c r="S316" s="1">
        <f t="shared" si="65"/>
        <v>0</v>
      </c>
      <c r="T316" s="1">
        <f t="shared" si="66"/>
        <v>0</v>
      </c>
      <c r="U316" s="1">
        <f t="shared" si="67"/>
        <v>0</v>
      </c>
      <c r="V316" s="1">
        <f t="shared" si="68"/>
        <v>0</v>
      </c>
      <c r="W316" s="1">
        <f t="shared" si="69"/>
        <v>1.0300506068341619E-3</v>
      </c>
      <c r="X316" s="1">
        <f t="shared" si="70"/>
        <v>0</v>
      </c>
      <c r="Y316" s="1">
        <f t="shared" si="71"/>
        <v>3.8389680853786502E-4</v>
      </c>
      <c r="Z316" s="1">
        <f t="shared" si="62"/>
        <v>0</v>
      </c>
      <c r="AA316" s="1">
        <f t="shared" si="58"/>
        <v>0</v>
      </c>
      <c r="AB316" s="1">
        <f t="shared" si="59"/>
        <v>0</v>
      </c>
      <c r="AC316" s="1">
        <f t="shared" si="60"/>
        <v>1.6065653213657386E-4</v>
      </c>
      <c r="AD316" s="1" t="str">
        <f t="shared" si="63"/>
        <v>BESSIN AUTOMOBILES</v>
      </c>
      <c r="AE316" s="1" t="str">
        <f t="shared" si="64"/>
        <v>3260</v>
      </c>
      <c r="AF316" s="3">
        <f>Q316*Feuil2!$B$3</f>
        <v>0</v>
      </c>
      <c r="AG316" s="3">
        <f>R316*Feuil2!$C$3</f>
        <v>0</v>
      </c>
      <c r="AH316" s="3">
        <f>S316*Feuil2!$D$3</f>
        <v>0</v>
      </c>
      <c r="AI316" s="3">
        <f>T316*Feuil2!$E$2</f>
        <v>0</v>
      </c>
      <c r="AJ316" s="3">
        <f>U316*Feuil2!$F$3</f>
        <v>0</v>
      </c>
      <c r="AK316" s="3">
        <f>V316*Feuil2!$G$3</f>
        <v>0</v>
      </c>
      <c r="AL316" s="3">
        <f>W316*Feuil2!$H$3</f>
        <v>37.450044336960907</v>
      </c>
      <c r="AM316" s="3">
        <f>X316*Feuil2!$I$2</f>
        <v>0</v>
      </c>
      <c r="AN316" s="3">
        <f>Y316*Feuil2!$J$3</f>
        <v>16.220730427661046</v>
      </c>
      <c r="AO316" s="3">
        <f>Z316*Feuil2!$K$3</f>
        <v>0</v>
      </c>
      <c r="AP316" s="3">
        <f>AA316*Feuil2!$L$3</f>
        <v>0</v>
      </c>
      <c r="AQ316" s="3">
        <f>AB316*Feuil2!$M$3</f>
        <v>0</v>
      </c>
      <c r="AR316" s="3">
        <f>AC316*Feuil2!$N$3</f>
        <v>67.264717929268997</v>
      </c>
    </row>
    <row r="317" spans="1:44" x14ac:dyDescent="0.35">
      <c r="A317" t="s">
        <v>628</v>
      </c>
      <c r="B317" t="s">
        <v>629</v>
      </c>
      <c r="C317">
        <v>0</v>
      </c>
      <c r="D317">
        <v>0</v>
      </c>
      <c r="E317">
        <v>61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61</v>
      </c>
      <c r="Q317" s="1">
        <f>C317/$C$434</f>
        <v>0</v>
      </c>
      <c r="R317" s="1">
        <f t="shared" si="61"/>
        <v>0</v>
      </c>
      <c r="S317" s="1">
        <f t="shared" si="65"/>
        <v>2.0706744967582064E-3</v>
      </c>
      <c r="T317" s="1">
        <f t="shared" si="66"/>
        <v>0</v>
      </c>
      <c r="U317" s="1">
        <f t="shared" si="67"/>
        <v>0</v>
      </c>
      <c r="V317" s="1">
        <f t="shared" si="68"/>
        <v>0</v>
      </c>
      <c r="W317" s="1">
        <f t="shared" si="69"/>
        <v>0</v>
      </c>
      <c r="X317" s="1">
        <f t="shared" si="70"/>
        <v>0</v>
      </c>
      <c r="Y317" s="1">
        <f t="shared" si="71"/>
        <v>0</v>
      </c>
      <c r="Z317" s="1">
        <f t="shared" si="62"/>
        <v>0</v>
      </c>
      <c r="AA317" s="1">
        <f t="shared" si="58"/>
        <v>0</v>
      </c>
      <c r="AB317" s="1">
        <f t="shared" si="59"/>
        <v>0</v>
      </c>
      <c r="AC317" s="1">
        <f t="shared" si="60"/>
        <v>1.6065653213657386E-4</v>
      </c>
      <c r="AD317" s="1" t="str">
        <f t="shared" si="63"/>
        <v>EURL MTA MECATECAUTO</v>
      </c>
      <c r="AE317" s="1" t="str">
        <f t="shared" si="64"/>
        <v>6300</v>
      </c>
      <c r="AF317" s="3">
        <f>Q317*Feuil2!$B$3</f>
        <v>0</v>
      </c>
      <c r="AG317" s="3">
        <f>R317*Feuil2!$C$3</f>
        <v>0</v>
      </c>
      <c r="AH317" s="3">
        <f>S317*Feuil2!$D$3</f>
        <v>81.372952238704656</v>
      </c>
      <c r="AI317" s="3">
        <f>T317*Feuil2!$E$2</f>
        <v>0</v>
      </c>
      <c r="AJ317" s="3">
        <f>U317*Feuil2!$F$3</f>
        <v>0</v>
      </c>
      <c r="AK317" s="3">
        <f>V317*Feuil2!$G$3</f>
        <v>0</v>
      </c>
      <c r="AL317" s="3">
        <f>W317*Feuil2!$H$3</f>
        <v>0</v>
      </c>
      <c r="AM317" s="3">
        <f>X317*Feuil2!$I$2</f>
        <v>0</v>
      </c>
      <c r="AN317" s="3">
        <f>Y317*Feuil2!$J$3</f>
        <v>0</v>
      </c>
      <c r="AO317" s="3">
        <f>Z317*Feuil2!$K$3</f>
        <v>0</v>
      </c>
      <c r="AP317" s="3">
        <f>AA317*Feuil2!$L$3</f>
        <v>0</v>
      </c>
      <c r="AQ317" s="3">
        <f>AB317*Feuil2!$M$3</f>
        <v>0</v>
      </c>
      <c r="AR317" s="3">
        <f>AC317*Feuil2!$N$3</f>
        <v>67.264717929268997</v>
      </c>
    </row>
    <row r="318" spans="1:44" x14ac:dyDescent="0.35">
      <c r="A318" t="s">
        <v>630</v>
      </c>
      <c r="B318" t="s">
        <v>631</v>
      </c>
      <c r="C318">
        <v>0</v>
      </c>
      <c r="D318">
        <v>11</v>
      </c>
      <c r="E318">
        <v>0</v>
      </c>
      <c r="F318">
        <v>0</v>
      </c>
      <c r="G318">
        <v>0</v>
      </c>
      <c r="H318">
        <v>47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58</v>
      </c>
      <c r="Q318" s="1">
        <f>C318/$C$434</f>
        <v>0</v>
      </c>
      <c r="R318" s="1">
        <f t="shared" si="61"/>
        <v>4.63704578028834E-4</v>
      </c>
      <c r="S318" s="1">
        <f t="shared" si="65"/>
        <v>0</v>
      </c>
      <c r="T318" s="1">
        <f t="shared" si="66"/>
        <v>0</v>
      </c>
      <c r="U318" s="1">
        <f t="shared" si="67"/>
        <v>0</v>
      </c>
      <c r="V318" s="1">
        <f t="shared" si="68"/>
        <v>1.5733270846583871E-3</v>
      </c>
      <c r="W318" s="1">
        <f t="shared" si="69"/>
        <v>0</v>
      </c>
      <c r="X318" s="1">
        <f t="shared" si="70"/>
        <v>0</v>
      </c>
      <c r="Y318" s="1">
        <f t="shared" si="71"/>
        <v>0</v>
      </c>
      <c r="Z318" s="1">
        <f t="shared" si="62"/>
        <v>0</v>
      </c>
      <c r="AA318" s="1">
        <f t="shared" si="58"/>
        <v>0</v>
      </c>
      <c r="AB318" s="1">
        <f t="shared" si="59"/>
        <v>0</v>
      </c>
      <c r="AC318" s="1">
        <f t="shared" si="60"/>
        <v>1.5275539121182433E-4</v>
      </c>
      <c r="AD318" s="1" t="str">
        <f t="shared" si="63"/>
        <v>AUTOMOBILES DE COTE DE NACRE</v>
      </c>
      <c r="AE318" s="1" t="str">
        <f t="shared" si="64"/>
        <v>3666</v>
      </c>
      <c r="AF318" s="3">
        <f>Q318*Feuil2!$B$3</f>
        <v>0</v>
      </c>
      <c r="AG318" s="3">
        <f>R318*Feuil2!$C$3</f>
        <v>16.403512351403759</v>
      </c>
      <c r="AH318" s="3">
        <f>S318*Feuil2!$D$3</f>
        <v>0</v>
      </c>
      <c r="AI318" s="3">
        <f>T318*Feuil2!$E$2</f>
        <v>0</v>
      </c>
      <c r="AJ318" s="3">
        <f>U318*Feuil2!$F$3</f>
        <v>0</v>
      </c>
      <c r="AK318" s="3">
        <f>V318*Feuil2!$G$3</f>
        <v>63.385761055133393</v>
      </c>
      <c r="AL318" s="3">
        <f>W318*Feuil2!$H$3</f>
        <v>0</v>
      </c>
      <c r="AM318" s="3">
        <f>X318*Feuil2!$I$2</f>
        <v>0</v>
      </c>
      <c r="AN318" s="3">
        <f>Y318*Feuil2!$J$3</f>
        <v>0</v>
      </c>
      <c r="AO318" s="3">
        <f>Z318*Feuil2!$K$3</f>
        <v>0</v>
      </c>
      <c r="AP318" s="3">
        <f>AA318*Feuil2!$L$3</f>
        <v>0</v>
      </c>
      <c r="AQ318" s="3">
        <f>AB318*Feuil2!$M$3</f>
        <v>0</v>
      </c>
      <c r="AR318" s="3">
        <f>AC318*Feuil2!$N$3</f>
        <v>63.956617047501666</v>
      </c>
    </row>
    <row r="319" spans="1:44" x14ac:dyDescent="0.35">
      <c r="A319" t="s">
        <v>632</v>
      </c>
      <c r="B319" t="s">
        <v>633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21</v>
      </c>
      <c r="K319">
        <v>9</v>
      </c>
      <c r="L319">
        <v>9</v>
      </c>
      <c r="M319">
        <v>18</v>
      </c>
      <c r="N319">
        <v>0</v>
      </c>
      <c r="O319">
        <v>57</v>
      </c>
      <c r="Q319" s="1">
        <f>C319/$C$434</f>
        <v>0</v>
      </c>
      <c r="R319" s="1">
        <f t="shared" si="61"/>
        <v>0</v>
      </c>
      <c r="S319" s="1">
        <f t="shared" si="65"/>
        <v>0</v>
      </c>
      <c r="T319" s="1">
        <f t="shared" si="66"/>
        <v>0</v>
      </c>
      <c r="U319" s="1">
        <f t="shared" si="67"/>
        <v>0</v>
      </c>
      <c r="V319" s="1">
        <f t="shared" si="68"/>
        <v>0</v>
      </c>
      <c r="W319" s="1">
        <f t="shared" si="69"/>
        <v>0</v>
      </c>
      <c r="X319" s="1">
        <f t="shared" si="70"/>
        <v>1.1219147344801795E-3</v>
      </c>
      <c r="Y319" s="1">
        <f t="shared" si="71"/>
        <v>2.30338085122719E-4</v>
      </c>
      <c r="Z319" s="1">
        <f t="shared" si="62"/>
        <v>2.2838002436053592E-4</v>
      </c>
      <c r="AA319" s="1">
        <f t="shared" si="58"/>
        <v>4.5064216508524648E-4</v>
      </c>
      <c r="AB319" s="1">
        <f t="shared" si="59"/>
        <v>0</v>
      </c>
      <c r="AC319" s="1">
        <f t="shared" si="60"/>
        <v>1.5012167757024115E-4</v>
      </c>
      <c r="AD319" s="1" t="str">
        <f t="shared" si="63"/>
        <v>AUTO DEMONSTRATION</v>
      </c>
      <c r="AE319" s="1" t="str">
        <f t="shared" si="64"/>
        <v>3389</v>
      </c>
      <c r="AF319" s="3">
        <f>Q319*Feuil2!$B$3</f>
        <v>0</v>
      </c>
      <c r="AG319" s="3">
        <f>R319*Feuil2!$C$3</f>
        <v>0</v>
      </c>
      <c r="AH319" s="3">
        <f>S319*Feuil2!$D$3</f>
        <v>0</v>
      </c>
      <c r="AI319" s="3">
        <f>T319*Feuil2!$E$2</f>
        <v>0</v>
      </c>
      <c r="AJ319" s="3">
        <f>U319*Feuil2!$F$3</f>
        <v>0</v>
      </c>
      <c r="AK319" s="3">
        <f>V319*Feuil2!$G$3</f>
        <v>0</v>
      </c>
      <c r="AL319" s="3">
        <f>W319*Feuil2!$H$3</f>
        <v>0</v>
      </c>
      <c r="AM319" s="3">
        <f>X319*Feuil2!$I$2</f>
        <v>23.966342557965593</v>
      </c>
      <c r="AN319" s="3">
        <f>Y319*Feuil2!$J$3</f>
        <v>9.7324382565966268</v>
      </c>
      <c r="AO319" s="3">
        <f>Z319*Feuil2!$K$3</f>
        <v>9.2009104750304509</v>
      </c>
      <c r="AP319" s="3">
        <f>AA319*Feuil2!$L$3</f>
        <v>16.384213504243547</v>
      </c>
      <c r="AQ319" s="3">
        <f>AB319*Feuil2!$M$3</f>
        <v>0</v>
      </c>
      <c r="AR319" s="3">
        <f>AC319*Feuil2!$N$3</f>
        <v>62.853916753579227</v>
      </c>
    </row>
    <row r="320" spans="1:44" x14ac:dyDescent="0.35">
      <c r="A320" t="s">
        <v>634</v>
      </c>
      <c r="B320" t="s">
        <v>635</v>
      </c>
      <c r="C320">
        <v>0</v>
      </c>
      <c r="D320">
        <v>0</v>
      </c>
      <c r="E320">
        <v>0</v>
      </c>
      <c r="F320">
        <v>57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57</v>
      </c>
      <c r="Q320" s="1">
        <f>C320/$C$434</f>
        <v>0</v>
      </c>
      <c r="R320" s="1">
        <f t="shared" si="61"/>
        <v>0</v>
      </c>
      <c r="S320" s="1">
        <f t="shared" si="65"/>
        <v>0</v>
      </c>
      <c r="T320" s="1">
        <f t="shared" si="66"/>
        <v>2.2888808577279846E-3</v>
      </c>
      <c r="U320" s="1">
        <f t="shared" si="67"/>
        <v>0</v>
      </c>
      <c r="V320" s="1">
        <f t="shared" si="68"/>
        <v>0</v>
      </c>
      <c r="W320" s="1">
        <f t="shared" si="69"/>
        <v>0</v>
      </c>
      <c r="X320" s="1">
        <f t="shared" si="70"/>
        <v>0</v>
      </c>
      <c r="Y320" s="1">
        <f t="shared" si="71"/>
        <v>0</v>
      </c>
      <c r="Z320" s="1">
        <f t="shared" si="62"/>
        <v>0</v>
      </c>
      <c r="AA320" s="1">
        <f t="shared" si="58"/>
        <v>0</v>
      </c>
      <c r="AB320" s="1">
        <f t="shared" si="59"/>
        <v>0</v>
      </c>
      <c r="AC320" s="1">
        <f t="shared" si="60"/>
        <v>1.5012167757024115E-4</v>
      </c>
      <c r="AD320" s="1" t="str">
        <f t="shared" si="63"/>
        <v>MONDEVILLE AUTO SERVICES</v>
      </c>
      <c r="AE320" s="1" t="str">
        <f t="shared" si="64"/>
        <v>3420</v>
      </c>
      <c r="AF320" s="3">
        <f>Q320*Feuil2!$B$3</f>
        <v>0</v>
      </c>
      <c r="AG320" s="3">
        <f>R320*Feuil2!$C$3</f>
        <v>0</v>
      </c>
      <c r="AH320" s="3">
        <f>S320*Feuil2!$D$3</f>
        <v>0</v>
      </c>
      <c r="AI320" s="3">
        <f>T320*Feuil2!$E$2</f>
        <v>85.79412119021805</v>
      </c>
      <c r="AJ320" s="3">
        <f>U320*Feuil2!$F$3</f>
        <v>0</v>
      </c>
      <c r="AK320" s="3">
        <f>V320*Feuil2!$G$3</f>
        <v>0</v>
      </c>
      <c r="AL320" s="3">
        <f>W320*Feuil2!$H$3</f>
        <v>0</v>
      </c>
      <c r="AM320" s="3">
        <f>X320*Feuil2!$I$2</f>
        <v>0</v>
      </c>
      <c r="AN320" s="3">
        <f>Y320*Feuil2!$J$3</f>
        <v>0</v>
      </c>
      <c r="AO320" s="3">
        <f>Z320*Feuil2!$K$3</f>
        <v>0</v>
      </c>
      <c r="AP320" s="3">
        <f>AA320*Feuil2!$L$3</f>
        <v>0</v>
      </c>
      <c r="AQ320" s="3">
        <f>AB320*Feuil2!$M$3</f>
        <v>0</v>
      </c>
      <c r="AR320" s="3">
        <f>AC320*Feuil2!$N$3</f>
        <v>62.853916753579227</v>
      </c>
    </row>
    <row r="321" spans="1:44" x14ac:dyDescent="0.35">
      <c r="A321" t="s">
        <v>636</v>
      </c>
      <c r="B321" t="s">
        <v>637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26</v>
      </c>
      <c r="J321">
        <v>30</v>
      </c>
      <c r="K321">
        <v>0</v>
      </c>
      <c r="L321">
        <v>0</v>
      </c>
      <c r="M321">
        <v>0</v>
      </c>
      <c r="N321">
        <v>0</v>
      </c>
      <c r="O321">
        <v>56</v>
      </c>
      <c r="Q321" s="1">
        <f>C321/$C$434</f>
        <v>0</v>
      </c>
      <c r="R321" s="1">
        <f t="shared" si="61"/>
        <v>0</v>
      </c>
      <c r="S321" s="1">
        <f t="shared" si="65"/>
        <v>0</v>
      </c>
      <c r="T321" s="1">
        <f t="shared" si="66"/>
        <v>0</v>
      </c>
      <c r="U321" s="1">
        <f t="shared" si="67"/>
        <v>0</v>
      </c>
      <c r="V321" s="1">
        <f t="shared" si="68"/>
        <v>0</v>
      </c>
      <c r="W321" s="1">
        <f t="shared" si="69"/>
        <v>5.8220251690626538E-4</v>
      </c>
      <c r="X321" s="1">
        <f t="shared" si="70"/>
        <v>1.602735334971685E-3</v>
      </c>
      <c r="Y321" s="1">
        <f t="shared" si="71"/>
        <v>0</v>
      </c>
      <c r="Z321" s="1">
        <f t="shared" si="62"/>
        <v>0</v>
      </c>
      <c r="AA321" s="1">
        <f t="shared" si="58"/>
        <v>0</v>
      </c>
      <c r="AB321" s="1">
        <f t="shared" si="59"/>
        <v>0</v>
      </c>
      <c r="AC321" s="1">
        <f t="shared" si="60"/>
        <v>1.4748796392865797E-4</v>
      </c>
      <c r="AD321" s="1" t="str">
        <f t="shared" si="63"/>
        <v>COIGNARD S.A.S. - GARAGE RENAU</v>
      </c>
      <c r="AE321" s="1" t="str">
        <f t="shared" si="64"/>
        <v>5268</v>
      </c>
      <c r="AF321" s="3">
        <f>Q321*Feuil2!$B$3</f>
        <v>0</v>
      </c>
      <c r="AG321" s="3">
        <f>R321*Feuil2!$C$3</f>
        <v>0</v>
      </c>
      <c r="AH321" s="3">
        <f>S321*Feuil2!$D$3</f>
        <v>0</v>
      </c>
      <c r="AI321" s="3">
        <f>T321*Feuil2!$E$2</f>
        <v>0</v>
      </c>
      <c r="AJ321" s="3">
        <f>U321*Feuil2!$F$3</f>
        <v>0</v>
      </c>
      <c r="AK321" s="3">
        <f>V321*Feuil2!$G$3</f>
        <v>0</v>
      </c>
      <c r="AL321" s="3">
        <f>W321*Feuil2!$H$3</f>
        <v>21.167416364369206</v>
      </c>
      <c r="AM321" s="3">
        <f>X321*Feuil2!$I$2</f>
        <v>34.237632225665138</v>
      </c>
      <c r="AN321" s="3">
        <f>Y321*Feuil2!$J$3</f>
        <v>0</v>
      </c>
      <c r="AO321" s="3">
        <f>Z321*Feuil2!$K$3</f>
        <v>0</v>
      </c>
      <c r="AP321" s="3">
        <f>AA321*Feuil2!$L$3</f>
        <v>0</v>
      </c>
      <c r="AQ321" s="3">
        <f>AB321*Feuil2!$M$3</f>
        <v>0</v>
      </c>
      <c r="AR321" s="3">
        <f>AC321*Feuil2!$N$3</f>
        <v>61.751216459656781</v>
      </c>
    </row>
    <row r="322" spans="1:44" x14ac:dyDescent="0.35">
      <c r="A322" t="s">
        <v>638</v>
      </c>
      <c r="B322" t="s">
        <v>639</v>
      </c>
      <c r="C322">
        <v>0</v>
      </c>
      <c r="D322">
        <v>0</v>
      </c>
      <c r="E322">
        <v>19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37</v>
      </c>
      <c r="M322">
        <v>0</v>
      </c>
      <c r="N322">
        <v>0</v>
      </c>
      <c r="O322">
        <v>56</v>
      </c>
      <c r="Q322" s="1">
        <f>C322/$C$434</f>
        <v>0</v>
      </c>
      <c r="R322" s="1">
        <f t="shared" si="61"/>
        <v>0</v>
      </c>
      <c r="S322" s="1">
        <f t="shared" si="65"/>
        <v>6.4496418751485113E-4</v>
      </c>
      <c r="T322" s="1">
        <f t="shared" si="66"/>
        <v>0</v>
      </c>
      <c r="U322" s="1">
        <f t="shared" si="67"/>
        <v>0</v>
      </c>
      <c r="V322" s="1">
        <f t="shared" si="68"/>
        <v>0</v>
      </c>
      <c r="W322" s="1">
        <f t="shared" si="69"/>
        <v>0</v>
      </c>
      <c r="X322" s="1">
        <f t="shared" si="70"/>
        <v>0</v>
      </c>
      <c r="Y322" s="1">
        <f t="shared" si="71"/>
        <v>0</v>
      </c>
      <c r="Z322" s="1">
        <f t="shared" si="62"/>
        <v>9.3889565570442546E-4</v>
      </c>
      <c r="AA322" s="1">
        <f t="shared" si="58"/>
        <v>0</v>
      </c>
      <c r="AB322" s="1">
        <f t="shared" si="59"/>
        <v>0</v>
      </c>
      <c r="AC322" s="1">
        <f t="shared" si="60"/>
        <v>1.4748796392865797E-4</v>
      </c>
      <c r="AD322" s="1" t="str">
        <f t="shared" si="63"/>
        <v>GAUTIER</v>
      </c>
      <c r="AE322" s="1" t="str">
        <f t="shared" si="64"/>
        <v>3133</v>
      </c>
      <c r="AF322" s="3">
        <f>Q322*Feuil2!$B$3</f>
        <v>0</v>
      </c>
      <c r="AG322" s="3">
        <f>R322*Feuil2!$C$3</f>
        <v>0</v>
      </c>
      <c r="AH322" s="3">
        <f>S322*Feuil2!$D$3</f>
        <v>25.345673648121117</v>
      </c>
      <c r="AI322" s="3">
        <f>T322*Feuil2!$E$2</f>
        <v>0</v>
      </c>
      <c r="AJ322" s="3">
        <f>U322*Feuil2!$F$3</f>
        <v>0</v>
      </c>
      <c r="AK322" s="3">
        <f>V322*Feuil2!$G$3</f>
        <v>0</v>
      </c>
      <c r="AL322" s="3">
        <f>W322*Feuil2!$H$3</f>
        <v>0</v>
      </c>
      <c r="AM322" s="3">
        <f>X322*Feuil2!$I$2</f>
        <v>0</v>
      </c>
      <c r="AN322" s="3">
        <f>Y322*Feuil2!$J$3</f>
        <v>0</v>
      </c>
      <c r="AO322" s="3">
        <f>Z322*Feuil2!$K$3</f>
        <v>37.825965286236297</v>
      </c>
      <c r="AP322" s="3">
        <f>AA322*Feuil2!$L$3</f>
        <v>0</v>
      </c>
      <c r="AQ322" s="3">
        <f>AB322*Feuil2!$M$3</f>
        <v>0</v>
      </c>
      <c r="AR322" s="3">
        <f>AC322*Feuil2!$N$3</f>
        <v>61.751216459656781</v>
      </c>
    </row>
    <row r="323" spans="1:44" x14ac:dyDescent="0.35">
      <c r="A323" t="s">
        <v>640</v>
      </c>
      <c r="B323" t="s">
        <v>641</v>
      </c>
      <c r="C323">
        <v>27</v>
      </c>
      <c r="D323">
        <v>0</v>
      </c>
      <c r="E323">
        <v>0</v>
      </c>
      <c r="F323">
        <v>0</v>
      </c>
      <c r="G323">
        <v>0</v>
      </c>
      <c r="H323">
        <v>34</v>
      </c>
      <c r="I323">
        <v>161</v>
      </c>
      <c r="J323">
        <v>-167</v>
      </c>
      <c r="K323">
        <v>0</v>
      </c>
      <c r="L323">
        <v>0</v>
      </c>
      <c r="M323">
        <v>0</v>
      </c>
      <c r="N323">
        <v>0</v>
      </c>
      <c r="O323">
        <v>55</v>
      </c>
      <c r="Q323" s="1">
        <f>C323/$C$434</f>
        <v>6.6651855143301487E-4</v>
      </c>
      <c r="R323" s="1">
        <f t="shared" si="61"/>
        <v>0</v>
      </c>
      <c r="S323" s="1">
        <f t="shared" si="65"/>
        <v>0</v>
      </c>
      <c r="T323" s="1">
        <f t="shared" si="66"/>
        <v>0</v>
      </c>
      <c r="U323" s="1">
        <f t="shared" si="67"/>
        <v>0</v>
      </c>
      <c r="V323" s="1">
        <f t="shared" si="68"/>
        <v>1.1381515080507482E-3</v>
      </c>
      <c r="W323" s="1">
        <f t="shared" si="69"/>
        <v>3.6051771239195667E-3</v>
      </c>
      <c r="X323" s="1">
        <f t="shared" si="70"/>
        <v>-8.9218933646757134E-3</v>
      </c>
      <c r="Y323" s="1">
        <f t="shared" si="71"/>
        <v>0</v>
      </c>
      <c r="Z323" s="1">
        <f t="shared" si="62"/>
        <v>0</v>
      </c>
      <c r="AA323" s="1">
        <f t="shared" ref="AA323:AA386" si="72">M323/M$434</f>
        <v>0</v>
      </c>
      <c r="AB323" s="1">
        <f t="shared" ref="AB323:AB386" si="73">N323/N$434</f>
        <v>0</v>
      </c>
      <c r="AC323" s="1">
        <f t="shared" ref="AC323:AC386" si="74">O323/O$434</f>
        <v>1.4485425028707479E-4</v>
      </c>
      <c r="AD323" s="1" t="str">
        <f t="shared" si="63"/>
        <v>LUST J-F</v>
      </c>
      <c r="AE323" s="1" t="str">
        <f t="shared" si="64"/>
        <v>5237</v>
      </c>
      <c r="AF323" s="3">
        <f>Q323*Feuil2!$B$3</f>
        <v>23.578040435458785</v>
      </c>
      <c r="AG323" s="3">
        <f>R323*Feuil2!$C$3</f>
        <v>0</v>
      </c>
      <c r="AH323" s="3">
        <f>S323*Feuil2!$D$3</f>
        <v>0</v>
      </c>
      <c r="AI323" s="3">
        <f>T323*Feuil2!$E$2</f>
        <v>0</v>
      </c>
      <c r="AJ323" s="3">
        <f>U323*Feuil2!$F$3</f>
        <v>0</v>
      </c>
      <c r="AK323" s="3">
        <f>V323*Feuil2!$G$3</f>
        <v>45.853529273926291</v>
      </c>
      <c r="AL323" s="3">
        <f>W323*Feuil2!$H$3</f>
        <v>131.07515517936318</v>
      </c>
      <c r="AM323" s="3">
        <f>X323*Feuil2!$I$2</f>
        <v>-190.58948605620259</v>
      </c>
      <c r="AN323" s="3">
        <f>Y323*Feuil2!$J$3</f>
        <v>0</v>
      </c>
      <c r="AO323" s="3">
        <f>Z323*Feuil2!$K$3</f>
        <v>0</v>
      </c>
      <c r="AP323" s="3">
        <f>AA323*Feuil2!$L$3</f>
        <v>0</v>
      </c>
      <c r="AQ323" s="3">
        <f>AB323*Feuil2!$M$3</f>
        <v>0</v>
      </c>
      <c r="AR323" s="3">
        <f>AC323*Feuil2!$N$3</f>
        <v>60.648516165734343</v>
      </c>
    </row>
    <row r="324" spans="1:44" x14ac:dyDescent="0.35">
      <c r="A324" t="s">
        <v>642</v>
      </c>
      <c r="B324" t="s">
        <v>643</v>
      </c>
      <c r="C324">
        <v>0</v>
      </c>
      <c r="D324">
        <v>54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54</v>
      </c>
      <c r="Q324" s="1">
        <f>C324/$C$434</f>
        <v>0</v>
      </c>
      <c r="R324" s="1">
        <f t="shared" ref="R324:R387" si="75">D324/D$434</f>
        <v>2.2763679285051851E-3</v>
      </c>
      <c r="S324" s="1">
        <f t="shared" si="65"/>
        <v>0</v>
      </c>
      <c r="T324" s="1">
        <f t="shared" si="66"/>
        <v>0</v>
      </c>
      <c r="U324" s="1">
        <f t="shared" si="67"/>
        <v>0</v>
      </c>
      <c r="V324" s="1">
        <f t="shared" si="68"/>
        <v>0</v>
      </c>
      <c r="W324" s="1">
        <f t="shared" si="69"/>
        <v>0</v>
      </c>
      <c r="X324" s="1">
        <f t="shared" si="70"/>
        <v>0</v>
      </c>
      <c r="Y324" s="1">
        <f t="shared" si="71"/>
        <v>0</v>
      </c>
      <c r="Z324" s="1">
        <f t="shared" ref="Z324:Z387" si="76">L324/L$434</f>
        <v>0</v>
      </c>
      <c r="AA324" s="1">
        <f t="shared" si="72"/>
        <v>0</v>
      </c>
      <c r="AB324" s="1">
        <f t="shared" si="73"/>
        <v>0</v>
      </c>
      <c r="AC324" s="1">
        <f t="shared" si="74"/>
        <v>1.4222053664549161E-4</v>
      </c>
      <c r="AD324" s="1" t="str">
        <f t="shared" ref="AD324:AD387" si="77">A324</f>
        <v>GARAGE MARIE</v>
      </c>
      <c r="AE324" s="1" t="str">
        <f t="shared" ref="AE324:AE387" si="78">B324</f>
        <v>1952</v>
      </c>
      <c r="AF324" s="3">
        <f>Q324*Feuil2!$B$3</f>
        <v>0</v>
      </c>
      <c r="AG324" s="3">
        <f>R324*Feuil2!$C$3</f>
        <v>80.526333361436642</v>
      </c>
      <c r="AH324" s="3">
        <f>S324*Feuil2!$D$3</f>
        <v>0</v>
      </c>
      <c r="AI324" s="3">
        <f>T324*Feuil2!$E$2</f>
        <v>0</v>
      </c>
      <c r="AJ324" s="3">
        <f>U324*Feuil2!$F$3</f>
        <v>0</v>
      </c>
      <c r="AK324" s="3">
        <f>V324*Feuil2!$G$3</f>
        <v>0</v>
      </c>
      <c r="AL324" s="3">
        <f>W324*Feuil2!$H$3</f>
        <v>0</v>
      </c>
      <c r="AM324" s="3">
        <f>X324*Feuil2!$I$2</f>
        <v>0</v>
      </c>
      <c r="AN324" s="3">
        <f>Y324*Feuil2!$J$3</f>
        <v>0</v>
      </c>
      <c r="AO324" s="3">
        <f>Z324*Feuil2!$K$3</f>
        <v>0</v>
      </c>
      <c r="AP324" s="3">
        <f>AA324*Feuil2!$L$3</f>
        <v>0</v>
      </c>
      <c r="AQ324" s="3">
        <f>AB324*Feuil2!$M$3</f>
        <v>0</v>
      </c>
      <c r="AR324" s="3">
        <f>AC324*Feuil2!$N$3</f>
        <v>59.545815871811897</v>
      </c>
    </row>
    <row r="325" spans="1:44" x14ac:dyDescent="0.35">
      <c r="A325" t="s">
        <v>644</v>
      </c>
      <c r="B325" t="s">
        <v>645</v>
      </c>
      <c r="C325">
        <v>0</v>
      </c>
      <c r="D325">
        <v>0</v>
      </c>
      <c r="E325">
        <v>0</v>
      </c>
      <c r="F325">
        <v>27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27</v>
      </c>
      <c r="M325">
        <v>0</v>
      </c>
      <c r="N325">
        <v>0</v>
      </c>
      <c r="O325">
        <v>54</v>
      </c>
      <c r="Q325" s="1">
        <f>C325/$C$434</f>
        <v>0</v>
      </c>
      <c r="R325" s="1">
        <f t="shared" si="75"/>
        <v>0</v>
      </c>
      <c r="S325" s="1">
        <f t="shared" si="65"/>
        <v>0</v>
      </c>
      <c r="T325" s="1">
        <f t="shared" si="66"/>
        <v>1.0842067220816769E-3</v>
      </c>
      <c r="U325" s="1">
        <f t="shared" si="67"/>
        <v>0</v>
      </c>
      <c r="V325" s="1">
        <f t="shared" si="68"/>
        <v>0</v>
      </c>
      <c r="W325" s="1">
        <f t="shared" si="69"/>
        <v>0</v>
      </c>
      <c r="X325" s="1">
        <f t="shared" si="70"/>
        <v>0</v>
      </c>
      <c r="Y325" s="1">
        <f t="shared" si="71"/>
        <v>0</v>
      </c>
      <c r="Z325" s="1">
        <f t="shared" si="76"/>
        <v>6.8514007308160781E-4</v>
      </c>
      <c r="AA325" s="1">
        <f t="shared" si="72"/>
        <v>0</v>
      </c>
      <c r="AB325" s="1">
        <f t="shared" si="73"/>
        <v>0</v>
      </c>
      <c r="AC325" s="1">
        <f t="shared" si="74"/>
        <v>1.4222053664549161E-4</v>
      </c>
      <c r="AD325" s="1" t="str">
        <f t="shared" si="77"/>
        <v>MOAL AUTO</v>
      </c>
      <c r="AE325" s="1" t="str">
        <f t="shared" si="78"/>
        <v>3453</v>
      </c>
      <c r="AF325" s="3">
        <f>Q325*Feuil2!$B$3</f>
        <v>0</v>
      </c>
      <c r="AG325" s="3">
        <f>R325*Feuil2!$C$3</f>
        <v>0</v>
      </c>
      <c r="AH325" s="3">
        <f>S325*Feuil2!$D$3</f>
        <v>0</v>
      </c>
      <c r="AI325" s="3">
        <f>T325*Feuil2!$E$2</f>
        <v>40.639320563787493</v>
      </c>
      <c r="AJ325" s="3">
        <f>U325*Feuil2!$F$3</f>
        <v>0</v>
      </c>
      <c r="AK325" s="3">
        <f>V325*Feuil2!$G$3</f>
        <v>0</v>
      </c>
      <c r="AL325" s="3">
        <f>W325*Feuil2!$H$3</f>
        <v>0</v>
      </c>
      <c r="AM325" s="3">
        <f>X325*Feuil2!$I$2</f>
        <v>0</v>
      </c>
      <c r="AN325" s="3">
        <f>Y325*Feuil2!$J$3</f>
        <v>0</v>
      </c>
      <c r="AO325" s="3">
        <f>Z325*Feuil2!$K$3</f>
        <v>27.602731425091353</v>
      </c>
      <c r="AP325" s="3">
        <f>AA325*Feuil2!$L$3</f>
        <v>0</v>
      </c>
      <c r="AQ325" s="3">
        <f>AB325*Feuil2!$M$3</f>
        <v>0</v>
      </c>
      <c r="AR325" s="3">
        <f>AC325*Feuil2!$N$3</f>
        <v>59.545815871811897</v>
      </c>
    </row>
    <row r="326" spans="1:44" x14ac:dyDescent="0.35">
      <c r="A326" t="s">
        <v>646</v>
      </c>
      <c r="B326" t="s">
        <v>647</v>
      </c>
      <c r="C326">
        <v>0</v>
      </c>
      <c r="D326">
        <v>21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33</v>
      </c>
      <c r="N326">
        <v>0</v>
      </c>
      <c r="O326">
        <v>54</v>
      </c>
      <c r="Q326" s="1">
        <f>C326/$C$434</f>
        <v>0</v>
      </c>
      <c r="R326" s="1">
        <f t="shared" si="75"/>
        <v>8.8525419441868312E-4</v>
      </c>
      <c r="S326" s="1">
        <f t="shared" si="65"/>
        <v>0</v>
      </c>
      <c r="T326" s="1">
        <f t="shared" si="66"/>
        <v>0</v>
      </c>
      <c r="U326" s="1">
        <f t="shared" si="67"/>
        <v>0</v>
      </c>
      <c r="V326" s="1">
        <f t="shared" si="68"/>
        <v>0</v>
      </c>
      <c r="W326" s="1">
        <f t="shared" si="69"/>
        <v>0</v>
      </c>
      <c r="X326" s="1">
        <f t="shared" si="70"/>
        <v>0</v>
      </c>
      <c r="Y326" s="1">
        <f t="shared" si="71"/>
        <v>0</v>
      </c>
      <c r="Z326" s="1">
        <f t="shared" si="76"/>
        <v>0</v>
      </c>
      <c r="AA326" s="1">
        <f t="shared" si="72"/>
        <v>8.2617730265628522E-4</v>
      </c>
      <c r="AB326" s="1">
        <f t="shared" si="73"/>
        <v>0</v>
      </c>
      <c r="AC326" s="1">
        <f t="shared" si="74"/>
        <v>1.4222053664549161E-4</v>
      </c>
      <c r="AD326" s="1" t="str">
        <f t="shared" si="77"/>
        <v>TOUFLET LAURENT</v>
      </c>
      <c r="AE326" s="1" t="str">
        <f t="shared" si="78"/>
        <v>5128</v>
      </c>
      <c r="AF326" s="3">
        <f>Q326*Feuil2!$B$3</f>
        <v>0</v>
      </c>
      <c r="AG326" s="3">
        <f>R326*Feuil2!$C$3</f>
        <v>31.315796307225359</v>
      </c>
      <c r="AH326" s="3">
        <f>S326*Feuil2!$D$3</f>
        <v>0</v>
      </c>
      <c r="AI326" s="3">
        <f>T326*Feuil2!$E$2</f>
        <v>0</v>
      </c>
      <c r="AJ326" s="3">
        <f>U326*Feuil2!$F$3</f>
        <v>0</v>
      </c>
      <c r="AK326" s="3">
        <f>V326*Feuil2!$G$3</f>
        <v>0</v>
      </c>
      <c r="AL326" s="3">
        <f>W326*Feuil2!$H$3</f>
        <v>0</v>
      </c>
      <c r="AM326" s="3">
        <f>X326*Feuil2!$I$2</f>
        <v>0</v>
      </c>
      <c r="AN326" s="3">
        <f>Y326*Feuil2!$J$3</f>
        <v>0</v>
      </c>
      <c r="AO326" s="3">
        <f>Z326*Feuil2!$K$3</f>
        <v>0</v>
      </c>
      <c r="AP326" s="3">
        <f>AA326*Feuil2!$L$3</f>
        <v>30.037724757779838</v>
      </c>
      <c r="AQ326" s="3">
        <f>AB326*Feuil2!$M$3</f>
        <v>0</v>
      </c>
      <c r="AR326" s="3">
        <f>AC326*Feuil2!$N$3</f>
        <v>59.545815871811897</v>
      </c>
    </row>
    <row r="327" spans="1:44" x14ac:dyDescent="0.35">
      <c r="A327" t="s">
        <v>648</v>
      </c>
      <c r="B327" t="s">
        <v>649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19</v>
      </c>
      <c r="J327">
        <v>0</v>
      </c>
      <c r="K327">
        <v>5</v>
      </c>
      <c r="L327">
        <v>0</v>
      </c>
      <c r="M327">
        <v>29</v>
      </c>
      <c r="N327">
        <v>0</v>
      </c>
      <c r="O327">
        <v>53</v>
      </c>
      <c r="Q327" s="1">
        <f>C327/$C$434</f>
        <v>0</v>
      </c>
      <c r="R327" s="1">
        <f t="shared" si="75"/>
        <v>0</v>
      </c>
      <c r="S327" s="1">
        <f t="shared" si="65"/>
        <v>0</v>
      </c>
      <c r="T327" s="1">
        <f t="shared" si="66"/>
        <v>0</v>
      </c>
      <c r="U327" s="1">
        <f t="shared" si="67"/>
        <v>0</v>
      </c>
      <c r="V327" s="1">
        <f t="shared" si="68"/>
        <v>0</v>
      </c>
      <c r="W327" s="1">
        <f t="shared" si="69"/>
        <v>4.2545568543150163E-4</v>
      </c>
      <c r="X327" s="1">
        <f t="shared" si="70"/>
        <v>0</v>
      </c>
      <c r="Y327" s="1">
        <f t="shared" si="71"/>
        <v>1.27965602845955E-4</v>
      </c>
      <c r="Z327" s="1">
        <f t="shared" si="76"/>
        <v>0</v>
      </c>
      <c r="AA327" s="1">
        <f t="shared" si="72"/>
        <v>7.2603459930400819E-4</v>
      </c>
      <c r="AB327" s="1">
        <f t="shared" si="73"/>
        <v>0</v>
      </c>
      <c r="AC327" s="1">
        <f t="shared" si="74"/>
        <v>1.3958682300390843E-4</v>
      </c>
      <c r="AD327" s="1" t="str">
        <f t="shared" si="77"/>
        <v>GT AUTO PERF 14</v>
      </c>
      <c r="AE327" s="1" t="str">
        <f t="shared" si="78"/>
        <v>3487</v>
      </c>
      <c r="AF327" s="3">
        <f>Q327*Feuil2!$B$3</f>
        <v>0</v>
      </c>
      <c r="AG327" s="3">
        <f>R327*Feuil2!$C$3</f>
        <v>0</v>
      </c>
      <c r="AH327" s="3">
        <f>S327*Feuil2!$D$3</f>
        <v>0</v>
      </c>
      <c r="AI327" s="3">
        <f>T327*Feuil2!$E$2</f>
        <v>0</v>
      </c>
      <c r="AJ327" s="3">
        <f>U327*Feuil2!$F$3</f>
        <v>0</v>
      </c>
      <c r="AK327" s="3">
        <f>V327*Feuil2!$G$3</f>
        <v>0</v>
      </c>
      <c r="AL327" s="3">
        <f>W327*Feuil2!$H$3</f>
        <v>15.468496573962113</v>
      </c>
      <c r="AM327" s="3">
        <f>X327*Feuil2!$I$2</f>
        <v>0</v>
      </c>
      <c r="AN327" s="3">
        <f>Y327*Feuil2!$J$3</f>
        <v>5.4069101425536816</v>
      </c>
      <c r="AO327" s="3">
        <f>Z327*Feuil2!$K$3</f>
        <v>0</v>
      </c>
      <c r="AP327" s="3">
        <f>AA327*Feuil2!$L$3</f>
        <v>26.396788423503494</v>
      </c>
      <c r="AQ327" s="3">
        <f>AB327*Feuil2!$M$3</f>
        <v>0</v>
      </c>
      <c r="AR327" s="3">
        <f>AC327*Feuil2!$N$3</f>
        <v>58.443115577889451</v>
      </c>
    </row>
    <row r="328" spans="1:44" x14ac:dyDescent="0.35">
      <c r="A328" t="s">
        <v>650</v>
      </c>
      <c r="B328" t="s">
        <v>318</v>
      </c>
      <c r="C328">
        <v>12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39</v>
      </c>
      <c r="N328">
        <v>0</v>
      </c>
      <c r="O328">
        <v>51</v>
      </c>
      <c r="Q328" s="1">
        <f>C328/$C$434</f>
        <v>2.9623046730356219E-4</v>
      </c>
      <c r="R328" s="1">
        <f t="shared" si="75"/>
        <v>0</v>
      </c>
      <c r="S328" s="1">
        <f t="shared" si="65"/>
        <v>0</v>
      </c>
      <c r="T328" s="1">
        <f t="shared" si="66"/>
        <v>0</v>
      </c>
      <c r="U328" s="1">
        <f t="shared" si="67"/>
        <v>0</v>
      </c>
      <c r="V328" s="1">
        <f t="shared" si="68"/>
        <v>0</v>
      </c>
      <c r="W328" s="1">
        <f t="shared" si="69"/>
        <v>0</v>
      </c>
      <c r="X328" s="1">
        <f t="shared" si="70"/>
        <v>0</v>
      </c>
      <c r="Y328" s="1">
        <f t="shared" si="71"/>
        <v>0</v>
      </c>
      <c r="Z328" s="1">
        <f t="shared" si="76"/>
        <v>0</v>
      </c>
      <c r="AA328" s="1">
        <f t="shared" si="72"/>
        <v>9.7639135768470072E-4</v>
      </c>
      <c r="AB328" s="1">
        <f t="shared" si="73"/>
        <v>0</v>
      </c>
      <c r="AC328" s="1">
        <f t="shared" si="74"/>
        <v>1.3431939572074208E-4</v>
      </c>
      <c r="AD328" s="1" t="str">
        <f t="shared" si="77"/>
        <v>DICOMA CONCESSION CITROEN ST L</v>
      </c>
      <c r="AE328" s="1" t="str">
        <f t="shared" si="78"/>
        <v>3200</v>
      </c>
      <c r="AF328" s="3">
        <f>Q328*Feuil2!$B$3</f>
        <v>10.479129082426129</v>
      </c>
      <c r="AG328" s="3">
        <f>R328*Feuil2!$C$3</f>
        <v>0</v>
      </c>
      <c r="AH328" s="3">
        <f>S328*Feuil2!$D$3</f>
        <v>0</v>
      </c>
      <c r="AI328" s="3">
        <f>T328*Feuil2!$E$2</f>
        <v>0</v>
      </c>
      <c r="AJ328" s="3">
        <f>U328*Feuil2!$F$3</f>
        <v>0</v>
      </c>
      <c r="AK328" s="3">
        <f>V328*Feuil2!$G$3</f>
        <v>0</v>
      </c>
      <c r="AL328" s="3">
        <f>W328*Feuil2!$H$3</f>
        <v>0</v>
      </c>
      <c r="AM328" s="3">
        <f>X328*Feuil2!$I$2</f>
        <v>0</v>
      </c>
      <c r="AN328" s="3">
        <f>Y328*Feuil2!$J$3</f>
        <v>0</v>
      </c>
      <c r="AO328" s="3">
        <f>Z328*Feuil2!$K$3</f>
        <v>0</v>
      </c>
      <c r="AP328" s="3">
        <f>AA328*Feuil2!$L$3</f>
        <v>35.499129259194355</v>
      </c>
      <c r="AQ328" s="3">
        <f>AB328*Feuil2!$M$3</f>
        <v>0</v>
      </c>
      <c r="AR328" s="3">
        <f>AC328*Feuil2!$N$3</f>
        <v>56.237714990044566</v>
      </c>
    </row>
    <row r="329" spans="1:44" x14ac:dyDescent="0.35">
      <c r="A329" t="s">
        <v>651</v>
      </c>
      <c r="B329" t="s">
        <v>652</v>
      </c>
      <c r="C329">
        <v>0</v>
      </c>
      <c r="D329">
        <v>50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50</v>
      </c>
      <c r="Q329" s="1">
        <f>C329/$C$434</f>
        <v>0</v>
      </c>
      <c r="R329" s="1">
        <f t="shared" si="75"/>
        <v>2.1077480819492456E-3</v>
      </c>
      <c r="S329" s="1">
        <f t="shared" si="65"/>
        <v>0</v>
      </c>
      <c r="T329" s="1">
        <f t="shared" si="66"/>
        <v>0</v>
      </c>
      <c r="U329" s="1">
        <f t="shared" si="67"/>
        <v>0</v>
      </c>
      <c r="V329" s="1">
        <f t="shared" si="68"/>
        <v>0</v>
      </c>
      <c r="W329" s="1">
        <f t="shared" si="69"/>
        <v>0</v>
      </c>
      <c r="X329" s="1">
        <f t="shared" si="70"/>
        <v>0</v>
      </c>
      <c r="Y329" s="1">
        <f t="shared" si="71"/>
        <v>0</v>
      </c>
      <c r="Z329" s="1">
        <f t="shared" si="76"/>
        <v>0</v>
      </c>
      <c r="AA329" s="1">
        <f t="shared" si="72"/>
        <v>0</v>
      </c>
      <c r="AB329" s="1">
        <f t="shared" si="73"/>
        <v>0</v>
      </c>
      <c r="AC329" s="1">
        <f t="shared" si="74"/>
        <v>1.316856820791589E-4</v>
      </c>
      <c r="AD329" s="1" t="str">
        <f t="shared" si="77"/>
        <v>RIVER MOTOR</v>
      </c>
      <c r="AE329" s="1" t="str">
        <f t="shared" si="78"/>
        <v>3950</v>
      </c>
      <c r="AF329" s="3">
        <f>Q329*Feuil2!$B$3</f>
        <v>0</v>
      </c>
      <c r="AG329" s="3">
        <f>R329*Feuil2!$C$3</f>
        <v>74.561419779108007</v>
      </c>
      <c r="AH329" s="3">
        <f>S329*Feuil2!$D$3</f>
        <v>0</v>
      </c>
      <c r="AI329" s="3">
        <f>T329*Feuil2!$E$2</f>
        <v>0</v>
      </c>
      <c r="AJ329" s="3">
        <f>U329*Feuil2!$F$3</f>
        <v>0</v>
      </c>
      <c r="AK329" s="3">
        <f>V329*Feuil2!$G$3</f>
        <v>0</v>
      </c>
      <c r="AL329" s="3">
        <f>W329*Feuil2!$H$3</f>
        <v>0</v>
      </c>
      <c r="AM329" s="3">
        <f>X329*Feuil2!$I$2</f>
        <v>0</v>
      </c>
      <c r="AN329" s="3">
        <f>Y329*Feuil2!$J$3</f>
        <v>0</v>
      </c>
      <c r="AO329" s="3">
        <f>Z329*Feuil2!$K$3</f>
        <v>0</v>
      </c>
      <c r="AP329" s="3">
        <f>AA329*Feuil2!$L$3</f>
        <v>0</v>
      </c>
      <c r="AQ329" s="3">
        <f>AB329*Feuil2!$M$3</f>
        <v>0</v>
      </c>
      <c r="AR329" s="3">
        <f>AC329*Feuil2!$N$3</f>
        <v>55.135014696122127</v>
      </c>
    </row>
    <row r="330" spans="1:44" x14ac:dyDescent="0.35">
      <c r="A330" t="s">
        <v>653</v>
      </c>
      <c r="B330" t="s">
        <v>654</v>
      </c>
      <c r="C330">
        <v>0</v>
      </c>
      <c r="D330">
        <v>0</v>
      </c>
      <c r="E330">
        <v>46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46</v>
      </c>
      <c r="Q330" s="1">
        <f>C330/$C$434</f>
        <v>0</v>
      </c>
      <c r="R330" s="1">
        <f t="shared" si="75"/>
        <v>0</v>
      </c>
      <c r="S330" s="1">
        <f t="shared" si="65"/>
        <v>1.5614922434570081E-3</v>
      </c>
      <c r="T330" s="1">
        <f t="shared" si="66"/>
        <v>0</v>
      </c>
      <c r="U330" s="1">
        <f t="shared" si="67"/>
        <v>0</v>
      </c>
      <c r="V330" s="1">
        <f t="shared" si="68"/>
        <v>0</v>
      </c>
      <c r="W330" s="1">
        <f t="shared" si="69"/>
        <v>0</v>
      </c>
      <c r="X330" s="1">
        <f t="shared" si="70"/>
        <v>0</v>
      </c>
      <c r="Y330" s="1">
        <f t="shared" si="71"/>
        <v>0</v>
      </c>
      <c r="Z330" s="1">
        <f t="shared" si="76"/>
        <v>0</v>
      </c>
      <c r="AA330" s="1">
        <f t="shared" si="72"/>
        <v>0</v>
      </c>
      <c r="AB330" s="1">
        <f t="shared" si="73"/>
        <v>0</v>
      </c>
      <c r="AC330" s="1">
        <f t="shared" si="74"/>
        <v>1.2115082751282618E-4</v>
      </c>
      <c r="AD330" s="1" t="str">
        <f t="shared" si="77"/>
        <v>AN GLASS</v>
      </c>
      <c r="AE330" s="1" t="str">
        <f t="shared" si="78"/>
        <v>3703</v>
      </c>
      <c r="AF330" s="3">
        <f>Q330*Feuil2!$B$3</f>
        <v>0</v>
      </c>
      <c r="AG330" s="3">
        <f>R330*Feuil2!$C$3</f>
        <v>0</v>
      </c>
      <c r="AH330" s="3">
        <f>S330*Feuil2!$D$3</f>
        <v>61.363209884924814</v>
      </c>
      <c r="AI330" s="3">
        <f>T330*Feuil2!$E$2</f>
        <v>0</v>
      </c>
      <c r="AJ330" s="3">
        <f>U330*Feuil2!$F$3</f>
        <v>0</v>
      </c>
      <c r="AK330" s="3">
        <f>V330*Feuil2!$G$3</f>
        <v>0</v>
      </c>
      <c r="AL330" s="3">
        <f>W330*Feuil2!$H$3</f>
        <v>0</v>
      </c>
      <c r="AM330" s="3">
        <f>X330*Feuil2!$I$2</f>
        <v>0</v>
      </c>
      <c r="AN330" s="3">
        <f>Y330*Feuil2!$J$3</f>
        <v>0</v>
      </c>
      <c r="AO330" s="3">
        <f>Z330*Feuil2!$K$3</f>
        <v>0</v>
      </c>
      <c r="AP330" s="3">
        <f>AA330*Feuil2!$L$3</f>
        <v>0</v>
      </c>
      <c r="AQ330" s="3">
        <f>AB330*Feuil2!$M$3</f>
        <v>0</v>
      </c>
      <c r="AR330" s="3">
        <f>AC330*Feuil2!$N$3</f>
        <v>50.724213520432357</v>
      </c>
    </row>
    <row r="331" spans="1:44" x14ac:dyDescent="0.35">
      <c r="A331" t="s">
        <v>655</v>
      </c>
      <c r="B331" t="s">
        <v>656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45</v>
      </c>
      <c r="K331">
        <v>0</v>
      </c>
      <c r="L331">
        <v>0</v>
      </c>
      <c r="M331">
        <v>0</v>
      </c>
      <c r="N331">
        <v>0</v>
      </c>
      <c r="O331">
        <v>45</v>
      </c>
      <c r="Q331" s="1">
        <f>C331/$C$434</f>
        <v>0</v>
      </c>
      <c r="R331" s="1">
        <f t="shared" si="75"/>
        <v>0</v>
      </c>
      <c r="S331" s="1">
        <f t="shared" si="65"/>
        <v>0</v>
      </c>
      <c r="T331" s="1">
        <f t="shared" si="66"/>
        <v>0</v>
      </c>
      <c r="U331" s="1">
        <f t="shared" si="67"/>
        <v>0</v>
      </c>
      <c r="V331" s="1">
        <f t="shared" si="68"/>
        <v>0</v>
      </c>
      <c r="W331" s="1">
        <f t="shared" si="69"/>
        <v>0</v>
      </c>
      <c r="X331" s="1">
        <f t="shared" si="70"/>
        <v>2.4041030024575276E-3</v>
      </c>
      <c r="Y331" s="1">
        <f t="shared" si="71"/>
        <v>0</v>
      </c>
      <c r="Z331" s="1">
        <f t="shared" si="76"/>
        <v>0</v>
      </c>
      <c r="AA331" s="1">
        <f t="shared" si="72"/>
        <v>0</v>
      </c>
      <c r="AB331" s="1">
        <f t="shared" si="73"/>
        <v>0</v>
      </c>
      <c r="AC331" s="1">
        <f t="shared" si="74"/>
        <v>1.1851711387124301E-4</v>
      </c>
      <c r="AD331" s="1" t="str">
        <f t="shared" si="77"/>
        <v>CARROSSERIE ALB</v>
      </c>
      <c r="AE331" s="1" t="str">
        <f t="shared" si="78"/>
        <v>550354</v>
      </c>
      <c r="AF331" s="3">
        <f>Q331*Feuil2!$B$3</f>
        <v>0</v>
      </c>
      <c r="AG331" s="3">
        <f>R331*Feuil2!$C$3</f>
        <v>0</v>
      </c>
      <c r="AH331" s="3">
        <f>S331*Feuil2!$D$3</f>
        <v>0</v>
      </c>
      <c r="AI331" s="3">
        <f>T331*Feuil2!$E$2</f>
        <v>0</v>
      </c>
      <c r="AJ331" s="3">
        <f>U331*Feuil2!$F$3</f>
        <v>0</v>
      </c>
      <c r="AK331" s="3">
        <f>V331*Feuil2!$G$3</f>
        <v>0</v>
      </c>
      <c r="AL331" s="3">
        <f>W331*Feuil2!$H$3</f>
        <v>0</v>
      </c>
      <c r="AM331" s="3">
        <f>X331*Feuil2!$I$2</f>
        <v>51.356448338497707</v>
      </c>
      <c r="AN331" s="3">
        <f>Y331*Feuil2!$J$3</f>
        <v>0</v>
      </c>
      <c r="AO331" s="3">
        <f>Z331*Feuil2!$K$3</f>
        <v>0</v>
      </c>
      <c r="AP331" s="3">
        <f>AA331*Feuil2!$L$3</f>
        <v>0</v>
      </c>
      <c r="AQ331" s="3">
        <f>AB331*Feuil2!$M$3</f>
        <v>0</v>
      </c>
      <c r="AR331" s="3">
        <f>AC331*Feuil2!$N$3</f>
        <v>49.621513226509911</v>
      </c>
    </row>
    <row r="332" spans="1:44" x14ac:dyDescent="0.35">
      <c r="A332" t="s">
        <v>657</v>
      </c>
      <c r="B332" t="s">
        <v>658</v>
      </c>
      <c r="C332">
        <v>0</v>
      </c>
      <c r="D332">
        <v>0</v>
      </c>
      <c r="E332">
        <v>0</v>
      </c>
      <c r="F332">
        <v>12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32</v>
      </c>
      <c r="N332">
        <v>0</v>
      </c>
      <c r="O332">
        <v>44</v>
      </c>
      <c r="Q332" s="1">
        <f>C332/$C$434</f>
        <v>0</v>
      </c>
      <c r="R332" s="1">
        <f t="shared" si="75"/>
        <v>0</v>
      </c>
      <c r="S332" s="1">
        <f t="shared" si="65"/>
        <v>0</v>
      </c>
      <c r="T332" s="1">
        <f t="shared" si="66"/>
        <v>4.8186965425852307E-4</v>
      </c>
      <c r="U332" s="1">
        <f t="shared" si="67"/>
        <v>0</v>
      </c>
      <c r="V332" s="1">
        <f t="shared" si="68"/>
        <v>0</v>
      </c>
      <c r="W332" s="1">
        <f t="shared" si="69"/>
        <v>0</v>
      </c>
      <c r="X332" s="1">
        <f t="shared" si="70"/>
        <v>0</v>
      </c>
      <c r="Y332" s="1">
        <f t="shared" si="71"/>
        <v>0</v>
      </c>
      <c r="Z332" s="1">
        <f t="shared" si="76"/>
        <v>0</v>
      </c>
      <c r="AA332" s="1">
        <f t="shared" si="72"/>
        <v>8.0114162681821594E-4</v>
      </c>
      <c r="AB332" s="1">
        <f t="shared" si="73"/>
        <v>0</v>
      </c>
      <c r="AC332" s="1">
        <f t="shared" si="74"/>
        <v>1.1588340022965983E-4</v>
      </c>
      <c r="AD332" s="1" t="str">
        <f t="shared" si="77"/>
        <v>SARL GARAGE BESNARD</v>
      </c>
      <c r="AE332" s="1" t="str">
        <f t="shared" si="78"/>
        <v>150847</v>
      </c>
      <c r="AF332" s="3">
        <f>Q332*Feuil2!$B$3</f>
        <v>0</v>
      </c>
      <c r="AG332" s="3">
        <f>R332*Feuil2!$C$3</f>
        <v>0</v>
      </c>
      <c r="AH332" s="3">
        <f>S332*Feuil2!$D$3</f>
        <v>0</v>
      </c>
      <c r="AI332" s="3">
        <f>T332*Feuil2!$E$2</f>
        <v>18.061920250572221</v>
      </c>
      <c r="AJ332" s="3">
        <f>U332*Feuil2!$F$3</f>
        <v>0</v>
      </c>
      <c r="AK332" s="3">
        <f>V332*Feuil2!$G$3</f>
        <v>0</v>
      </c>
      <c r="AL332" s="3">
        <f>W332*Feuil2!$H$3</f>
        <v>0</v>
      </c>
      <c r="AM332" s="3">
        <f>X332*Feuil2!$I$2</f>
        <v>0</v>
      </c>
      <c r="AN332" s="3">
        <f>Y332*Feuil2!$J$3</f>
        <v>0</v>
      </c>
      <c r="AO332" s="3">
        <f>Z332*Feuil2!$K$3</f>
        <v>0</v>
      </c>
      <c r="AP332" s="3">
        <f>AA332*Feuil2!$L$3</f>
        <v>29.127490674210751</v>
      </c>
      <c r="AQ332" s="3">
        <f>AB332*Feuil2!$M$3</f>
        <v>0</v>
      </c>
      <c r="AR332" s="3">
        <f>AC332*Feuil2!$N$3</f>
        <v>48.518812932587466</v>
      </c>
    </row>
    <row r="333" spans="1:44" x14ac:dyDescent="0.35">
      <c r="A333" t="s">
        <v>659</v>
      </c>
      <c r="B333" t="s">
        <v>660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43</v>
      </c>
      <c r="L333">
        <v>0</v>
      </c>
      <c r="M333">
        <v>0</v>
      </c>
      <c r="N333">
        <v>0</v>
      </c>
      <c r="O333">
        <v>43</v>
      </c>
      <c r="Q333" s="1">
        <f>C333/$C$434</f>
        <v>0</v>
      </c>
      <c r="R333" s="1">
        <f t="shared" si="75"/>
        <v>0</v>
      </c>
      <c r="S333" s="1">
        <f t="shared" si="65"/>
        <v>0</v>
      </c>
      <c r="T333" s="1">
        <f t="shared" si="66"/>
        <v>0</v>
      </c>
      <c r="U333" s="1">
        <f t="shared" si="67"/>
        <v>0</v>
      </c>
      <c r="V333" s="1">
        <f t="shared" si="68"/>
        <v>0</v>
      </c>
      <c r="W333" s="1">
        <f t="shared" si="69"/>
        <v>0</v>
      </c>
      <c r="X333" s="1">
        <f t="shared" si="70"/>
        <v>0</v>
      </c>
      <c r="Y333" s="1">
        <f t="shared" si="71"/>
        <v>1.1005041844752131E-3</v>
      </c>
      <c r="Z333" s="1">
        <f t="shared" si="76"/>
        <v>0</v>
      </c>
      <c r="AA333" s="1">
        <f t="shared" si="72"/>
        <v>0</v>
      </c>
      <c r="AB333" s="1">
        <f t="shared" si="73"/>
        <v>0</v>
      </c>
      <c r="AC333" s="1">
        <f t="shared" si="74"/>
        <v>1.1324968658807665E-4</v>
      </c>
      <c r="AD333" s="1" t="str">
        <f t="shared" si="77"/>
        <v>GTA SARL</v>
      </c>
      <c r="AE333" s="1" t="str">
        <f t="shared" si="78"/>
        <v>3145</v>
      </c>
      <c r="AF333" s="3">
        <f>Q333*Feuil2!$B$3</f>
        <v>0</v>
      </c>
      <c r="AG333" s="3">
        <f>R333*Feuil2!$C$3</f>
        <v>0</v>
      </c>
      <c r="AH333" s="3">
        <f>S333*Feuil2!$D$3</f>
        <v>0</v>
      </c>
      <c r="AI333" s="3">
        <f>T333*Feuil2!$E$2</f>
        <v>0</v>
      </c>
      <c r="AJ333" s="3">
        <f>U333*Feuil2!$F$3</f>
        <v>0</v>
      </c>
      <c r="AK333" s="3">
        <f>V333*Feuil2!$G$3</f>
        <v>0</v>
      </c>
      <c r="AL333" s="3">
        <f>W333*Feuil2!$H$3</f>
        <v>0</v>
      </c>
      <c r="AM333" s="3">
        <f>X333*Feuil2!$I$2</f>
        <v>0</v>
      </c>
      <c r="AN333" s="3">
        <f>Y333*Feuil2!$J$3</f>
        <v>46.499427225961668</v>
      </c>
      <c r="AO333" s="3">
        <f>Z333*Feuil2!$K$3</f>
        <v>0</v>
      </c>
      <c r="AP333" s="3">
        <f>AA333*Feuil2!$L$3</f>
        <v>0</v>
      </c>
      <c r="AQ333" s="3">
        <f>AB333*Feuil2!$M$3</f>
        <v>0</v>
      </c>
      <c r="AR333" s="3">
        <f>AC333*Feuil2!$N$3</f>
        <v>47.416112638665027</v>
      </c>
    </row>
    <row r="334" spans="1:44" x14ac:dyDescent="0.35">
      <c r="A334" t="s">
        <v>661</v>
      </c>
      <c r="B334" t="s">
        <v>662</v>
      </c>
      <c r="C334">
        <v>10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33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43</v>
      </c>
      <c r="Q334" s="1">
        <f>C334/$C$434</f>
        <v>2.4685872275296845E-4</v>
      </c>
      <c r="R334" s="1">
        <f t="shared" si="75"/>
        <v>0</v>
      </c>
      <c r="S334" s="1">
        <f t="shared" si="65"/>
        <v>0</v>
      </c>
      <c r="T334" s="1">
        <f t="shared" si="66"/>
        <v>0</v>
      </c>
      <c r="U334" s="1">
        <f t="shared" si="67"/>
        <v>0</v>
      </c>
      <c r="V334" s="1">
        <f t="shared" si="68"/>
        <v>0</v>
      </c>
      <c r="W334" s="1">
        <f t="shared" si="69"/>
        <v>7.3894934838102913E-4</v>
      </c>
      <c r="X334" s="1">
        <f t="shared" si="70"/>
        <v>0</v>
      </c>
      <c r="Y334" s="1">
        <f t="shared" si="71"/>
        <v>0</v>
      </c>
      <c r="Z334" s="1">
        <f t="shared" si="76"/>
        <v>0</v>
      </c>
      <c r="AA334" s="1">
        <f t="shared" si="72"/>
        <v>0</v>
      </c>
      <c r="AB334" s="1">
        <f t="shared" si="73"/>
        <v>0</v>
      </c>
      <c r="AC334" s="1">
        <f t="shared" si="74"/>
        <v>1.1324968658807665E-4</v>
      </c>
      <c r="AD334" s="1" t="str">
        <f t="shared" si="77"/>
        <v>MANU SERVICES AUTO</v>
      </c>
      <c r="AE334" s="1" t="str">
        <f t="shared" si="78"/>
        <v>3781</v>
      </c>
      <c r="AF334" s="3">
        <f>Q334*Feuil2!$B$3</f>
        <v>8.7326075686884383</v>
      </c>
      <c r="AG334" s="3">
        <f>R334*Feuil2!$C$3</f>
        <v>0</v>
      </c>
      <c r="AH334" s="3">
        <f>S334*Feuil2!$D$3</f>
        <v>0</v>
      </c>
      <c r="AI334" s="3">
        <f>T334*Feuil2!$E$2</f>
        <v>0</v>
      </c>
      <c r="AJ334" s="3">
        <f>U334*Feuil2!$F$3</f>
        <v>0</v>
      </c>
      <c r="AK334" s="3">
        <f>V334*Feuil2!$G$3</f>
        <v>0</v>
      </c>
      <c r="AL334" s="3">
        <f>W334*Feuil2!$H$3</f>
        <v>26.866336154776302</v>
      </c>
      <c r="AM334" s="3">
        <f>X334*Feuil2!$I$2</f>
        <v>0</v>
      </c>
      <c r="AN334" s="3">
        <f>Y334*Feuil2!$J$3</f>
        <v>0</v>
      </c>
      <c r="AO334" s="3">
        <f>Z334*Feuil2!$K$3</f>
        <v>0</v>
      </c>
      <c r="AP334" s="3">
        <f>AA334*Feuil2!$L$3</f>
        <v>0</v>
      </c>
      <c r="AQ334" s="3">
        <f>AB334*Feuil2!$M$3</f>
        <v>0</v>
      </c>
      <c r="AR334" s="3">
        <f>AC334*Feuil2!$N$3</f>
        <v>47.416112638665027</v>
      </c>
    </row>
    <row r="335" spans="1:44" x14ac:dyDescent="0.35">
      <c r="A335" t="s">
        <v>663</v>
      </c>
      <c r="B335" t="s">
        <v>664</v>
      </c>
      <c r="C335">
        <v>0</v>
      </c>
      <c r="D335">
        <v>0</v>
      </c>
      <c r="E335">
        <v>10</v>
      </c>
      <c r="F335">
        <v>0</v>
      </c>
      <c r="G335">
        <v>0</v>
      </c>
      <c r="H335">
        <v>0</v>
      </c>
      <c r="I335">
        <v>32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42</v>
      </c>
      <c r="Q335" s="1">
        <f>C335/$C$434</f>
        <v>0</v>
      </c>
      <c r="R335" s="1">
        <f t="shared" si="75"/>
        <v>0</v>
      </c>
      <c r="S335" s="1">
        <f t="shared" si="65"/>
        <v>3.3945483553413216E-4</v>
      </c>
      <c r="T335" s="1">
        <f t="shared" si="66"/>
        <v>0</v>
      </c>
      <c r="U335" s="1">
        <f t="shared" si="67"/>
        <v>0</v>
      </c>
      <c r="V335" s="1">
        <f t="shared" si="68"/>
        <v>0</v>
      </c>
      <c r="W335" s="1">
        <f t="shared" si="69"/>
        <v>7.1655694388463433E-4</v>
      </c>
      <c r="X335" s="1">
        <f t="shared" si="70"/>
        <v>0</v>
      </c>
      <c r="Y335" s="1">
        <f t="shared" si="71"/>
        <v>0</v>
      </c>
      <c r="Z335" s="1">
        <f t="shared" si="76"/>
        <v>0</v>
      </c>
      <c r="AA335" s="1">
        <f t="shared" si="72"/>
        <v>0</v>
      </c>
      <c r="AB335" s="1">
        <f t="shared" si="73"/>
        <v>0</v>
      </c>
      <c r="AC335" s="1">
        <f t="shared" si="74"/>
        <v>1.1061597294649347E-4</v>
      </c>
      <c r="AD335" s="1" t="str">
        <f t="shared" si="77"/>
        <v>CONCEPT CAR AVENUE</v>
      </c>
      <c r="AE335" s="1" t="str">
        <f t="shared" si="78"/>
        <v>3282</v>
      </c>
      <c r="AF335" s="3">
        <f>Q335*Feuil2!$B$3</f>
        <v>0</v>
      </c>
      <c r="AG335" s="3">
        <f>R335*Feuil2!$C$3</f>
        <v>0</v>
      </c>
      <c r="AH335" s="3">
        <f>S335*Feuil2!$D$3</f>
        <v>13.33982823585322</v>
      </c>
      <c r="AI335" s="3">
        <f>T335*Feuil2!$E$2</f>
        <v>0</v>
      </c>
      <c r="AJ335" s="3">
        <f>U335*Feuil2!$F$3</f>
        <v>0</v>
      </c>
      <c r="AK335" s="3">
        <f>V335*Feuil2!$G$3</f>
        <v>0</v>
      </c>
      <c r="AL335" s="3">
        <f>W335*Feuil2!$H$3</f>
        <v>26.052204756146718</v>
      </c>
      <c r="AM335" s="3">
        <f>X335*Feuil2!$I$2</f>
        <v>0</v>
      </c>
      <c r="AN335" s="3">
        <f>Y335*Feuil2!$J$3</f>
        <v>0</v>
      </c>
      <c r="AO335" s="3">
        <f>Z335*Feuil2!$K$3</f>
        <v>0</v>
      </c>
      <c r="AP335" s="3">
        <f>AA335*Feuil2!$L$3</f>
        <v>0</v>
      </c>
      <c r="AQ335" s="3">
        <f>AB335*Feuil2!$M$3</f>
        <v>0</v>
      </c>
      <c r="AR335" s="3">
        <f>AC335*Feuil2!$N$3</f>
        <v>46.313412344742581</v>
      </c>
    </row>
    <row r="336" spans="1:44" x14ac:dyDescent="0.35">
      <c r="A336" t="s">
        <v>665</v>
      </c>
      <c r="B336" t="s">
        <v>666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8</v>
      </c>
      <c r="J336">
        <v>0</v>
      </c>
      <c r="K336">
        <v>0</v>
      </c>
      <c r="L336">
        <v>15</v>
      </c>
      <c r="M336">
        <v>17</v>
      </c>
      <c r="N336">
        <v>0</v>
      </c>
      <c r="O336">
        <v>40</v>
      </c>
      <c r="Q336" s="1">
        <f>C336/$C$434</f>
        <v>0</v>
      </c>
      <c r="R336" s="1">
        <f t="shared" si="75"/>
        <v>0</v>
      </c>
      <c r="S336" s="1">
        <f t="shared" si="65"/>
        <v>0</v>
      </c>
      <c r="T336" s="1">
        <f t="shared" si="66"/>
        <v>0</v>
      </c>
      <c r="U336" s="1">
        <f t="shared" si="67"/>
        <v>0</v>
      </c>
      <c r="V336" s="1">
        <f t="shared" si="68"/>
        <v>0</v>
      </c>
      <c r="W336" s="1">
        <f t="shared" si="69"/>
        <v>1.7913923597115858E-4</v>
      </c>
      <c r="X336" s="1">
        <f t="shared" si="70"/>
        <v>0</v>
      </c>
      <c r="Y336" s="1">
        <f t="shared" si="71"/>
        <v>0</v>
      </c>
      <c r="Z336" s="1">
        <f t="shared" si="76"/>
        <v>3.8063337393422653E-4</v>
      </c>
      <c r="AA336" s="1">
        <f t="shared" si="72"/>
        <v>4.2560648924717725E-4</v>
      </c>
      <c r="AB336" s="1">
        <f t="shared" si="73"/>
        <v>0</v>
      </c>
      <c r="AC336" s="1">
        <f t="shared" si="74"/>
        <v>1.0534854566332711E-4</v>
      </c>
      <c r="AD336" s="1" t="str">
        <f t="shared" si="77"/>
        <v>MULTI GROUPE</v>
      </c>
      <c r="AE336" s="1" t="str">
        <f t="shared" si="78"/>
        <v>3362</v>
      </c>
      <c r="AF336" s="3">
        <f>Q336*Feuil2!$B$3</f>
        <v>0</v>
      </c>
      <c r="AG336" s="3">
        <f>R336*Feuil2!$C$3</f>
        <v>0</v>
      </c>
      <c r="AH336" s="3">
        <f>S336*Feuil2!$D$3</f>
        <v>0</v>
      </c>
      <c r="AI336" s="3">
        <f>T336*Feuil2!$E$2</f>
        <v>0</v>
      </c>
      <c r="AJ336" s="3">
        <f>U336*Feuil2!$F$3</f>
        <v>0</v>
      </c>
      <c r="AK336" s="3">
        <f>V336*Feuil2!$G$3</f>
        <v>0</v>
      </c>
      <c r="AL336" s="3">
        <f>W336*Feuil2!$H$3</f>
        <v>6.5130511890366796</v>
      </c>
      <c r="AM336" s="3">
        <f>X336*Feuil2!$I$2</f>
        <v>0</v>
      </c>
      <c r="AN336" s="3">
        <f>Y336*Feuil2!$J$3</f>
        <v>0</v>
      </c>
      <c r="AO336" s="3">
        <f>Z336*Feuil2!$K$3</f>
        <v>15.334850791717418</v>
      </c>
      <c r="AP336" s="3">
        <f>AA336*Feuil2!$L$3</f>
        <v>15.473979420674464</v>
      </c>
      <c r="AQ336" s="3">
        <f>AB336*Feuil2!$M$3</f>
        <v>0</v>
      </c>
      <c r="AR336" s="3">
        <f>AC336*Feuil2!$N$3</f>
        <v>44.108011756897696</v>
      </c>
    </row>
    <row r="337" spans="1:44" x14ac:dyDescent="0.35">
      <c r="A337" t="s">
        <v>185</v>
      </c>
      <c r="B337" t="s">
        <v>667</v>
      </c>
      <c r="C337">
        <v>0</v>
      </c>
      <c r="D337">
        <v>0</v>
      </c>
      <c r="E337">
        <v>39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39</v>
      </c>
      <c r="Q337" s="1">
        <f>C337/$C$434</f>
        <v>0</v>
      </c>
      <c r="R337" s="1">
        <f t="shared" si="75"/>
        <v>0</v>
      </c>
      <c r="S337" s="1">
        <f t="shared" si="65"/>
        <v>1.3238738585831156E-3</v>
      </c>
      <c r="T337" s="1">
        <f t="shared" si="66"/>
        <v>0</v>
      </c>
      <c r="U337" s="1">
        <f t="shared" si="67"/>
        <v>0</v>
      </c>
      <c r="V337" s="1">
        <f t="shared" si="68"/>
        <v>0</v>
      </c>
      <c r="W337" s="1">
        <f t="shared" si="69"/>
        <v>0</v>
      </c>
      <c r="X337" s="1">
        <f t="shared" si="70"/>
        <v>0</v>
      </c>
      <c r="Y337" s="1">
        <f t="shared" si="71"/>
        <v>0</v>
      </c>
      <c r="Z337" s="1">
        <f t="shared" si="76"/>
        <v>0</v>
      </c>
      <c r="AA337" s="1">
        <f t="shared" si="72"/>
        <v>0</v>
      </c>
      <c r="AB337" s="1">
        <f t="shared" si="73"/>
        <v>0</v>
      </c>
      <c r="AC337" s="1">
        <f t="shared" si="74"/>
        <v>1.0271483202174393E-4</v>
      </c>
      <c r="AD337" s="1" t="str">
        <f t="shared" si="77"/>
        <v>EURAUTO</v>
      </c>
      <c r="AE337" s="1" t="str">
        <f t="shared" si="78"/>
        <v>3633</v>
      </c>
      <c r="AF337" s="3">
        <f>Q337*Feuil2!$B$3</f>
        <v>0</v>
      </c>
      <c r="AG337" s="3">
        <f>R337*Feuil2!$C$3</f>
        <v>0</v>
      </c>
      <c r="AH337" s="3">
        <f>S337*Feuil2!$D$3</f>
        <v>52.025330119827565</v>
      </c>
      <c r="AI337" s="3">
        <f>T337*Feuil2!$E$2</f>
        <v>0</v>
      </c>
      <c r="AJ337" s="3">
        <f>U337*Feuil2!$F$3</f>
        <v>0</v>
      </c>
      <c r="AK337" s="3">
        <f>V337*Feuil2!$G$3</f>
        <v>0</v>
      </c>
      <c r="AL337" s="3">
        <f>W337*Feuil2!$H$3</f>
        <v>0</v>
      </c>
      <c r="AM337" s="3">
        <f>X337*Feuil2!$I$2</f>
        <v>0</v>
      </c>
      <c r="AN337" s="3">
        <f>Y337*Feuil2!$J$3</f>
        <v>0</v>
      </c>
      <c r="AO337" s="3">
        <f>Z337*Feuil2!$K$3</f>
        <v>0</v>
      </c>
      <c r="AP337" s="3">
        <f>AA337*Feuil2!$L$3</f>
        <v>0</v>
      </c>
      <c r="AQ337" s="3">
        <f>AB337*Feuil2!$M$3</f>
        <v>0</v>
      </c>
      <c r="AR337" s="3">
        <f>AC337*Feuil2!$N$3</f>
        <v>43.005311462975257</v>
      </c>
    </row>
    <row r="338" spans="1:44" x14ac:dyDescent="0.35">
      <c r="A338" t="s">
        <v>668</v>
      </c>
      <c r="B338" t="s">
        <v>669</v>
      </c>
      <c r="C338">
        <v>0</v>
      </c>
      <c r="D338">
        <v>0</v>
      </c>
      <c r="E338">
        <v>0</v>
      </c>
      <c r="F338">
        <v>0</v>
      </c>
      <c r="G338">
        <v>15</v>
      </c>
      <c r="H338">
        <v>0</v>
      </c>
      <c r="I338">
        <v>0</v>
      </c>
      <c r="J338">
        <v>0</v>
      </c>
      <c r="K338">
        <v>10</v>
      </c>
      <c r="L338">
        <v>14</v>
      </c>
      <c r="M338">
        <v>0</v>
      </c>
      <c r="N338">
        <v>0</v>
      </c>
      <c r="O338">
        <v>39</v>
      </c>
      <c r="Q338" s="1">
        <f>C338/$C$434</f>
        <v>0</v>
      </c>
      <c r="R338" s="1">
        <f t="shared" si="75"/>
        <v>0</v>
      </c>
      <c r="S338" s="1">
        <f t="shared" si="65"/>
        <v>0</v>
      </c>
      <c r="T338" s="1">
        <f t="shared" si="66"/>
        <v>0</v>
      </c>
      <c r="U338" s="1">
        <f t="shared" si="67"/>
        <v>7.150347983601869E-4</v>
      </c>
      <c r="V338" s="1">
        <f t="shared" si="68"/>
        <v>0</v>
      </c>
      <c r="W338" s="1">
        <f t="shared" si="69"/>
        <v>0</v>
      </c>
      <c r="X338" s="1">
        <f t="shared" si="70"/>
        <v>0</v>
      </c>
      <c r="Y338" s="1">
        <f t="shared" si="71"/>
        <v>2.5593120569191E-4</v>
      </c>
      <c r="Z338" s="1">
        <f t="shared" si="76"/>
        <v>3.552578156719448E-4</v>
      </c>
      <c r="AA338" s="1">
        <f t="shared" si="72"/>
        <v>0</v>
      </c>
      <c r="AB338" s="1">
        <f t="shared" si="73"/>
        <v>0</v>
      </c>
      <c r="AC338" s="1">
        <f t="shared" si="74"/>
        <v>1.0271483202174393E-4</v>
      </c>
      <c r="AD338" s="1" t="str">
        <f t="shared" si="77"/>
        <v>LGB MECANIQUE</v>
      </c>
      <c r="AE338" s="1" t="str">
        <f t="shared" si="78"/>
        <v>3974</v>
      </c>
      <c r="AF338" s="3">
        <f>Q338*Feuil2!$B$3</f>
        <v>0</v>
      </c>
      <c r="AG338" s="3">
        <f>R338*Feuil2!$C$3</f>
        <v>0</v>
      </c>
      <c r="AH338" s="3">
        <f>S338*Feuil2!$D$3</f>
        <v>0</v>
      </c>
      <c r="AI338" s="3">
        <f>T338*Feuil2!$E$2</f>
        <v>0</v>
      </c>
      <c r="AJ338" s="3">
        <f>U338*Feuil2!$F$3</f>
        <v>18.267995042425401</v>
      </c>
      <c r="AK338" s="3">
        <f>V338*Feuil2!$G$3</f>
        <v>0</v>
      </c>
      <c r="AL338" s="3">
        <f>W338*Feuil2!$H$3</f>
        <v>0</v>
      </c>
      <c r="AM338" s="3">
        <f>X338*Feuil2!$I$2</f>
        <v>0</v>
      </c>
      <c r="AN338" s="3">
        <f>Y338*Feuil2!$J$3</f>
        <v>10.813820285107363</v>
      </c>
      <c r="AO338" s="3">
        <f>Z338*Feuil2!$K$3</f>
        <v>14.312527405602925</v>
      </c>
      <c r="AP338" s="3">
        <f>AA338*Feuil2!$L$3</f>
        <v>0</v>
      </c>
      <c r="AQ338" s="3">
        <f>AB338*Feuil2!$M$3</f>
        <v>0</v>
      </c>
      <c r="AR338" s="3">
        <f>AC338*Feuil2!$N$3</f>
        <v>43.005311462975257</v>
      </c>
    </row>
    <row r="339" spans="1:44" x14ac:dyDescent="0.35">
      <c r="A339" t="s">
        <v>337</v>
      </c>
      <c r="B339" t="s">
        <v>670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39</v>
      </c>
      <c r="N339">
        <v>0</v>
      </c>
      <c r="O339">
        <v>39</v>
      </c>
      <c r="Q339" s="1">
        <f>C339/$C$434</f>
        <v>0</v>
      </c>
      <c r="R339" s="1">
        <f t="shared" si="75"/>
        <v>0</v>
      </c>
      <c r="S339" s="1">
        <f t="shared" ref="S339:S402" si="79">E339/E$434</f>
        <v>0</v>
      </c>
      <c r="T339" s="1">
        <f t="shared" ref="T339:T402" si="80">F339/F$434</f>
        <v>0</v>
      </c>
      <c r="U339" s="1">
        <f t="shared" ref="U339:U402" si="81">G339/G$434</f>
        <v>0</v>
      </c>
      <c r="V339" s="1">
        <f t="shared" ref="V339:V402" si="82">H339/H$434</f>
        <v>0</v>
      </c>
      <c r="W339" s="1">
        <f t="shared" ref="W339:W402" si="83">I339/I$434</f>
        <v>0</v>
      </c>
      <c r="X339" s="1">
        <f t="shared" ref="X339:X402" si="84">J339/J$434</f>
        <v>0</v>
      </c>
      <c r="Y339" s="1">
        <f t="shared" ref="Y339:Y402" si="85">K339/K$434</f>
        <v>0</v>
      </c>
      <c r="Z339" s="1">
        <f t="shared" si="76"/>
        <v>0</v>
      </c>
      <c r="AA339" s="1">
        <f t="shared" si="72"/>
        <v>9.7639135768470072E-4</v>
      </c>
      <c r="AB339" s="1">
        <f t="shared" si="73"/>
        <v>0</v>
      </c>
      <c r="AC339" s="1">
        <f t="shared" si="74"/>
        <v>1.0271483202174393E-4</v>
      </c>
      <c r="AD339" s="1" t="str">
        <f t="shared" si="77"/>
        <v>MEZIDON CARROSSERIE</v>
      </c>
      <c r="AE339" s="1" t="str">
        <f t="shared" si="78"/>
        <v>6849</v>
      </c>
      <c r="AF339" s="3">
        <f>Q339*Feuil2!$B$3</f>
        <v>0</v>
      </c>
      <c r="AG339" s="3">
        <f>R339*Feuil2!$C$3</f>
        <v>0</v>
      </c>
      <c r="AH339" s="3">
        <f>S339*Feuil2!$D$3</f>
        <v>0</v>
      </c>
      <c r="AI339" s="3">
        <f>T339*Feuil2!$E$2</f>
        <v>0</v>
      </c>
      <c r="AJ339" s="3">
        <f>U339*Feuil2!$F$3</f>
        <v>0</v>
      </c>
      <c r="AK339" s="3">
        <f>V339*Feuil2!$G$3</f>
        <v>0</v>
      </c>
      <c r="AL339" s="3">
        <f>W339*Feuil2!$H$3</f>
        <v>0</v>
      </c>
      <c r="AM339" s="3">
        <f>X339*Feuil2!$I$2</f>
        <v>0</v>
      </c>
      <c r="AN339" s="3">
        <f>Y339*Feuil2!$J$3</f>
        <v>0</v>
      </c>
      <c r="AO339" s="3">
        <f>Z339*Feuil2!$K$3</f>
        <v>0</v>
      </c>
      <c r="AP339" s="3">
        <f>AA339*Feuil2!$L$3</f>
        <v>35.499129259194355</v>
      </c>
      <c r="AQ339" s="3">
        <f>AB339*Feuil2!$M$3</f>
        <v>0</v>
      </c>
      <c r="AR339" s="3">
        <f>AC339*Feuil2!$N$3</f>
        <v>43.005311462975257</v>
      </c>
    </row>
    <row r="340" spans="1:44" x14ac:dyDescent="0.35">
      <c r="A340" t="s">
        <v>671</v>
      </c>
      <c r="B340" t="s">
        <v>672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38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38</v>
      </c>
      <c r="Q340" s="1">
        <f>C340/$C$434</f>
        <v>0</v>
      </c>
      <c r="R340" s="1">
        <f t="shared" si="75"/>
        <v>0</v>
      </c>
      <c r="S340" s="1">
        <f t="shared" si="79"/>
        <v>0</v>
      </c>
      <c r="T340" s="1">
        <f t="shared" si="80"/>
        <v>0</v>
      </c>
      <c r="U340" s="1">
        <f t="shared" si="81"/>
        <v>0</v>
      </c>
      <c r="V340" s="1">
        <f t="shared" si="82"/>
        <v>1.2720516854684831E-3</v>
      </c>
      <c r="W340" s="1">
        <f t="shared" si="83"/>
        <v>0</v>
      </c>
      <c r="X340" s="1">
        <f t="shared" si="84"/>
        <v>0</v>
      </c>
      <c r="Y340" s="1">
        <f t="shared" si="85"/>
        <v>0</v>
      </c>
      <c r="Z340" s="1">
        <f t="shared" si="76"/>
        <v>0</v>
      </c>
      <c r="AA340" s="1">
        <f t="shared" si="72"/>
        <v>0</v>
      </c>
      <c r="AB340" s="1">
        <f t="shared" si="73"/>
        <v>0</v>
      </c>
      <c r="AC340" s="1">
        <f t="shared" si="74"/>
        <v>1.0008111838016076E-4</v>
      </c>
      <c r="AD340" s="1" t="str">
        <f t="shared" si="77"/>
        <v>MACADAM AUTO</v>
      </c>
      <c r="AE340" s="1" t="str">
        <f t="shared" si="78"/>
        <v>6170</v>
      </c>
      <c r="AF340" s="3">
        <f>Q340*Feuil2!$B$3</f>
        <v>0</v>
      </c>
      <c r="AG340" s="3">
        <f>R340*Feuil2!$C$3</f>
        <v>0</v>
      </c>
      <c r="AH340" s="3">
        <f>S340*Feuil2!$D$3</f>
        <v>0</v>
      </c>
      <c r="AI340" s="3">
        <f>T340*Feuil2!$E$2</f>
        <v>0</v>
      </c>
      <c r="AJ340" s="3">
        <f>U340*Feuil2!$F$3</f>
        <v>0</v>
      </c>
      <c r="AK340" s="3">
        <f>V340*Feuil2!$G$3</f>
        <v>51.248062129682317</v>
      </c>
      <c r="AL340" s="3">
        <f>W340*Feuil2!$H$3</f>
        <v>0</v>
      </c>
      <c r="AM340" s="3">
        <f>X340*Feuil2!$I$2</f>
        <v>0</v>
      </c>
      <c r="AN340" s="3">
        <f>Y340*Feuil2!$J$3</f>
        <v>0</v>
      </c>
      <c r="AO340" s="3">
        <f>Z340*Feuil2!$K$3</f>
        <v>0</v>
      </c>
      <c r="AP340" s="3">
        <f>AA340*Feuil2!$L$3</f>
        <v>0</v>
      </c>
      <c r="AQ340" s="3">
        <f>AB340*Feuil2!$M$3</f>
        <v>0</v>
      </c>
      <c r="AR340" s="3">
        <f>AC340*Feuil2!$N$3</f>
        <v>41.902611169052811</v>
      </c>
    </row>
    <row r="341" spans="1:44" x14ac:dyDescent="0.35">
      <c r="A341" t="s">
        <v>673</v>
      </c>
      <c r="B341" t="s">
        <v>674</v>
      </c>
      <c r="C341">
        <v>0</v>
      </c>
      <c r="D341">
        <v>0</v>
      </c>
      <c r="E341">
        <v>37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37</v>
      </c>
      <c r="Q341" s="1">
        <f>C341/$C$434</f>
        <v>0</v>
      </c>
      <c r="R341" s="1">
        <f t="shared" si="75"/>
        <v>0</v>
      </c>
      <c r="S341" s="1">
        <f t="shared" si="79"/>
        <v>1.2559828914762892E-3</v>
      </c>
      <c r="T341" s="1">
        <f t="shared" si="80"/>
        <v>0</v>
      </c>
      <c r="U341" s="1">
        <f t="shared" si="81"/>
        <v>0</v>
      </c>
      <c r="V341" s="1">
        <f t="shared" si="82"/>
        <v>0</v>
      </c>
      <c r="W341" s="1">
        <f t="shared" si="83"/>
        <v>0</v>
      </c>
      <c r="X341" s="1">
        <f t="shared" si="84"/>
        <v>0</v>
      </c>
      <c r="Y341" s="1">
        <f t="shared" si="85"/>
        <v>0</v>
      </c>
      <c r="Z341" s="1">
        <f t="shared" si="76"/>
        <v>0</v>
      </c>
      <c r="AA341" s="1">
        <f t="shared" si="72"/>
        <v>0</v>
      </c>
      <c r="AB341" s="1">
        <f t="shared" si="73"/>
        <v>0</v>
      </c>
      <c r="AC341" s="1">
        <f t="shared" si="74"/>
        <v>9.7447404738577577E-5</v>
      </c>
      <c r="AD341" s="1" t="str">
        <f t="shared" si="77"/>
        <v>AES AUTOMOBILES</v>
      </c>
      <c r="AE341" s="1" t="str">
        <f t="shared" si="78"/>
        <v>3652</v>
      </c>
      <c r="AF341" s="3">
        <f>Q341*Feuil2!$B$3</f>
        <v>0</v>
      </c>
      <c r="AG341" s="3">
        <f>R341*Feuil2!$C$3</f>
        <v>0</v>
      </c>
      <c r="AH341" s="3">
        <f>S341*Feuil2!$D$3</f>
        <v>49.357364472656919</v>
      </c>
      <c r="AI341" s="3">
        <f>T341*Feuil2!$E$2</f>
        <v>0</v>
      </c>
      <c r="AJ341" s="3">
        <f>U341*Feuil2!$F$3</f>
        <v>0</v>
      </c>
      <c r="AK341" s="3">
        <f>V341*Feuil2!$G$3</f>
        <v>0</v>
      </c>
      <c r="AL341" s="3">
        <f>W341*Feuil2!$H$3</f>
        <v>0</v>
      </c>
      <c r="AM341" s="3">
        <f>X341*Feuil2!$I$2</f>
        <v>0</v>
      </c>
      <c r="AN341" s="3">
        <f>Y341*Feuil2!$J$3</f>
        <v>0</v>
      </c>
      <c r="AO341" s="3">
        <f>Z341*Feuil2!$K$3</f>
        <v>0</v>
      </c>
      <c r="AP341" s="3">
        <f>AA341*Feuil2!$L$3</f>
        <v>0</v>
      </c>
      <c r="AQ341" s="3">
        <f>AB341*Feuil2!$M$3</f>
        <v>0</v>
      </c>
      <c r="AR341" s="3">
        <f>AC341*Feuil2!$N$3</f>
        <v>40.799910875130372</v>
      </c>
    </row>
    <row r="342" spans="1:44" x14ac:dyDescent="0.35">
      <c r="A342" t="s">
        <v>675</v>
      </c>
      <c r="B342" t="s">
        <v>676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37</v>
      </c>
      <c r="L342">
        <v>0</v>
      </c>
      <c r="M342">
        <v>0</v>
      </c>
      <c r="N342">
        <v>0</v>
      </c>
      <c r="O342">
        <v>37</v>
      </c>
      <c r="Q342" s="1">
        <f>C342/$C$434</f>
        <v>0</v>
      </c>
      <c r="R342" s="1">
        <f t="shared" si="75"/>
        <v>0</v>
      </c>
      <c r="S342" s="1">
        <f t="shared" si="79"/>
        <v>0</v>
      </c>
      <c r="T342" s="1">
        <f t="shared" si="80"/>
        <v>0</v>
      </c>
      <c r="U342" s="1">
        <f t="shared" si="81"/>
        <v>0</v>
      </c>
      <c r="V342" s="1">
        <f t="shared" si="82"/>
        <v>0</v>
      </c>
      <c r="W342" s="1">
        <f t="shared" si="83"/>
        <v>0</v>
      </c>
      <c r="X342" s="1">
        <f t="shared" si="84"/>
        <v>0</v>
      </c>
      <c r="Y342" s="1">
        <f t="shared" si="85"/>
        <v>9.46945461060067E-4</v>
      </c>
      <c r="Z342" s="1">
        <f t="shared" si="76"/>
        <v>0</v>
      </c>
      <c r="AA342" s="1">
        <f t="shared" si="72"/>
        <v>0</v>
      </c>
      <c r="AB342" s="1">
        <f t="shared" si="73"/>
        <v>0</v>
      </c>
      <c r="AC342" s="1">
        <f t="shared" si="74"/>
        <v>9.7447404738577577E-5</v>
      </c>
      <c r="AD342" s="1" t="str">
        <f t="shared" si="77"/>
        <v>SARL DUAU</v>
      </c>
      <c r="AE342" s="1" t="str">
        <f t="shared" si="78"/>
        <v>5178</v>
      </c>
      <c r="AF342" s="3">
        <f>Q342*Feuil2!$B$3</f>
        <v>0</v>
      </c>
      <c r="AG342" s="3">
        <f>R342*Feuil2!$C$3</f>
        <v>0</v>
      </c>
      <c r="AH342" s="3">
        <f>S342*Feuil2!$D$3</f>
        <v>0</v>
      </c>
      <c r="AI342" s="3">
        <f>T342*Feuil2!$E$2</f>
        <v>0</v>
      </c>
      <c r="AJ342" s="3">
        <f>U342*Feuil2!$F$3</f>
        <v>0</v>
      </c>
      <c r="AK342" s="3">
        <f>V342*Feuil2!$G$3</f>
        <v>0</v>
      </c>
      <c r="AL342" s="3">
        <f>W342*Feuil2!$H$3</f>
        <v>0</v>
      </c>
      <c r="AM342" s="3">
        <f>X342*Feuil2!$I$2</f>
        <v>0</v>
      </c>
      <c r="AN342" s="3">
        <f>Y342*Feuil2!$J$3</f>
        <v>40.011135054897245</v>
      </c>
      <c r="AO342" s="3">
        <f>Z342*Feuil2!$K$3</f>
        <v>0</v>
      </c>
      <c r="AP342" s="3">
        <f>AA342*Feuil2!$L$3</f>
        <v>0</v>
      </c>
      <c r="AQ342" s="3">
        <f>AB342*Feuil2!$M$3</f>
        <v>0</v>
      </c>
      <c r="AR342" s="3">
        <f>AC342*Feuil2!$N$3</f>
        <v>40.799910875130372</v>
      </c>
    </row>
    <row r="343" spans="1:44" x14ac:dyDescent="0.35">
      <c r="A343" t="s">
        <v>677</v>
      </c>
      <c r="B343" t="s">
        <v>678</v>
      </c>
      <c r="C343">
        <v>14</v>
      </c>
      <c r="D343">
        <v>0</v>
      </c>
      <c r="E343">
        <v>0</v>
      </c>
      <c r="F343">
        <v>22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36</v>
      </c>
      <c r="Q343" s="1">
        <f>C343/$C$434</f>
        <v>3.4560221185415588E-4</v>
      </c>
      <c r="R343" s="1">
        <f t="shared" si="75"/>
        <v>0</v>
      </c>
      <c r="S343" s="1">
        <f t="shared" si="79"/>
        <v>0</v>
      </c>
      <c r="T343" s="1">
        <f t="shared" si="80"/>
        <v>8.83427699473959E-4</v>
      </c>
      <c r="U343" s="1">
        <f t="shared" si="81"/>
        <v>0</v>
      </c>
      <c r="V343" s="1">
        <f t="shared" si="82"/>
        <v>0</v>
      </c>
      <c r="W343" s="1">
        <f t="shared" si="83"/>
        <v>0</v>
      </c>
      <c r="X343" s="1">
        <f t="shared" si="84"/>
        <v>0</v>
      </c>
      <c r="Y343" s="1">
        <f t="shared" si="85"/>
        <v>0</v>
      </c>
      <c r="Z343" s="1">
        <f t="shared" si="76"/>
        <v>0</v>
      </c>
      <c r="AA343" s="1">
        <f t="shared" si="72"/>
        <v>0</v>
      </c>
      <c r="AB343" s="1">
        <f t="shared" si="73"/>
        <v>0</v>
      </c>
      <c r="AC343" s="1">
        <f t="shared" si="74"/>
        <v>9.4813691096994412E-5</v>
      </c>
      <c r="AD343" s="1" t="str">
        <f t="shared" si="77"/>
        <v>ACPL</v>
      </c>
      <c r="AE343" s="1" t="str">
        <f t="shared" si="78"/>
        <v>5169</v>
      </c>
      <c r="AF343" s="3">
        <f>Q343*Feuil2!$B$3</f>
        <v>12.225650596163815</v>
      </c>
      <c r="AG343" s="3">
        <f>R343*Feuil2!$C$3</f>
        <v>0</v>
      </c>
      <c r="AH343" s="3">
        <f>S343*Feuil2!$D$3</f>
        <v>0</v>
      </c>
      <c r="AI343" s="3">
        <f>T343*Feuil2!$E$2</f>
        <v>33.113520459382407</v>
      </c>
      <c r="AJ343" s="3">
        <f>U343*Feuil2!$F$3</f>
        <v>0</v>
      </c>
      <c r="AK343" s="3">
        <f>V343*Feuil2!$G$3</f>
        <v>0</v>
      </c>
      <c r="AL343" s="3">
        <f>W343*Feuil2!$H$3</f>
        <v>0</v>
      </c>
      <c r="AM343" s="3">
        <f>X343*Feuil2!$I$2</f>
        <v>0</v>
      </c>
      <c r="AN343" s="3">
        <f>Y343*Feuil2!$J$3</f>
        <v>0</v>
      </c>
      <c r="AO343" s="3">
        <f>Z343*Feuil2!$K$3</f>
        <v>0</v>
      </c>
      <c r="AP343" s="3">
        <f>AA343*Feuil2!$L$3</f>
        <v>0</v>
      </c>
      <c r="AQ343" s="3">
        <f>AB343*Feuil2!$M$3</f>
        <v>0</v>
      </c>
      <c r="AR343" s="3">
        <f>AC343*Feuil2!$N$3</f>
        <v>39.697210581207933</v>
      </c>
    </row>
    <row r="344" spans="1:44" x14ac:dyDescent="0.35">
      <c r="A344" t="s">
        <v>679</v>
      </c>
      <c r="B344" t="s">
        <v>680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5</v>
      </c>
      <c r="I344">
        <v>0</v>
      </c>
      <c r="J344">
        <v>0</v>
      </c>
      <c r="K344">
        <v>0</v>
      </c>
      <c r="L344">
        <v>30</v>
      </c>
      <c r="M344">
        <v>0</v>
      </c>
      <c r="N344">
        <v>0</v>
      </c>
      <c r="O344">
        <v>35</v>
      </c>
      <c r="Q344" s="1">
        <f>C344/$C$434</f>
        <v>0</v>
      </c>
      <c r="R344" s="1">
        <f t="shared" si="75"/>
        <v>0</v>
      </c>
      <c r="S344" s="1">
        <f t="shared" si="79"/>
        <v>0</v>
      </c>
      <c r="T344" s="1">
        <f t="shared" si="80"/>
        <v>0</v>
      </c>
      <c r="U344" s="1">
        <f t="shared" si="81"/>
        <v>0</v>
      </c>
      <c r="V344" s="1">
        <f t="shared" si="82"/>
        <v>1.6737522177216884E-4</v>
      </c>
      <c r="W344" s="1">
        <f t="shared" si="83"/>
        <v>0</v>
      </c>
      <c r="X344" s="1">
        <f t="shared" si="84"/>
        <v>0</v>
      </c>
      <c r="Y344" s="1">
        <f t="shared" si="85"/>
        <v>0</v>
      </c>
      <c r="Z344" s="1">
        <f t="shared" si="76"/>
        <v>7.6126674786845306E-4</v>
      </c>
      <c r="AA344" s="1">
        <f t="shared" si="72"/>
        <v>0</v>
      </c>
      <c r="AB344" s="1">
        <f t="shared" si="73"/>
        <v>0</v>
      </c>
      <c r="AC344" s="1">
        <f t="shared" si="74"/>
        <v>9.2179977455411234E-5</v>
      </c>
      <c r="AD344" s="1" t="str">
        <f t="shared" si="77"/>
        <v>GUILLOTIN</v>
      </c>
      <c r="AE344" s="1" t="str">
        <f t="shared" si="78"/>
        <v>5221</v>
      </c>
      <c r="AF344" s="3">
        <f>Q344*Feuil2!$B$3</f>
        <v>0</v>
      </c>
      <c r="AG344" s="3">
        <f>R344*Feuil2!$C$3</f>
        <v>0</v>
      </c>
      <c r="AH344" s="3">
        <f>S344*Feuil2!$D$3</f>
        <v>0</v>
      </c>
      <c r="AI344" s="3">
        <f>T344*Feuil2!$E$2</f>
        <v>0</v>
      </c>
      <c r="AJ344" s="3">
        <f>U344*Feuil2!$F$3</f>
        <v>0</v>
      </c>
      <c r="AK344" s="3">
        <f>V344*Feuil2!$G$3</f>
        <v>6.7431660696950422</v>
      </c>
      <c r="AL344" s="3">
        <f>W344*Feuil2!$H$3</f>
        <v>0</v>
      </c>
      <c r="AM344" s="3">
        <f>X344*Feuil2!$I$2</f>
        <v>0</v>
      </c>
      <c r="AN344" s="3">
        <f>Y344*Feuil2!$J$3</f>
        <v>0</v>
      </c>
      <c r="AO344" s="3">
        <f>Z344*Feuil2!$K$3</f>
        <v>30.669701583434836</v>
      </c>
      <c r="AP344" s="3">
        <f>AA344*Feuil2!$L$3</f>
        <v>0</v>
      </c>
      <c r="AQ344" s="3">
        <f>AB344*Feuil2!$M$3</f>
        <v>0</v>
      </c>
      <c r="AR344" s="3">
        <f>AC344*Feuil2!$N$3</f>
        <v>38.594510287285487</v>
      </c>
    </row>
    <row r="345" spans="1:44" x14ac:dyDescent="0.35">
      <c r="A345" t="s">
        <v>681</v>
      </c>
      <c r="B345" t="s">
        <v>682</v>
      </c>
      <c r="C345">
        <v>0</v>
      </c>
      <c r="D345">
        <v>0</v>
      </c>
      <c r="E345">
        <v>34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34</v>
      </c>
      <c r="Q345" s="1">
        <f>C345/$C$434</f>
        <v>0</v>
      </c>
      <c r="R345" s="1">
        <f t="shared" si="75"/>
        <v>0</v>
      </c>
      <c r="S345" s="1">
        <f t="shared" si="79"/>
        <v>1.1541464408160495E-3</v>
      </c>
      <c r="T345" s="1">
        <f t="shared" si="80"/>
        <v>0</v>
      </c>
      <c r="U345" s="1">
        <f t="shared" si="81"/>
        <v>0</v>
      </c>
      <c r="V345" s="1">
        <f t="shared" si="82"/>
        <v>0</v>
      </c>
      <c r="W345" s="1">
        <f t="shared" si="83"/>
        <v>0</v>
      </c>
      <c r="X345" s="1">
        <f t="shared" si="84"/>
        <v>0</v>
      </c>
      <c r="Y345" s="1">
        <f t="shared" si="85"/>
        <v>0</v>
      </c>
      <c r="Z345" s="1">
        <f t="shared" si="76"/>
        <v>0</v>
      </c>
      <c r="AA345" s="1">
        <f t="shared" si="72"/>
        <v>0</v>
      </c>
      <c r="AB345" s="1">
        <f t="shared" si="73"/>
        <v>0</v>
      </c>
      <c r="AC345" s="1">
        <f t="shared" si="74"/>
        <v>8.9546263813828055E-5</v>
      </c>
      <c r="AD345" s="1" t="str">
        <f t="shared" si="77"/>
        <v>CLASSIC AUTO</v>
      </c>
      <c r="AE345" s="1" t="str">
        <f t="shared" si="78"/>
        <v>3179</v>
      </c>
      <c r="AF345" s="3">
        <f>Q345*Feuil2!$B$3</f>
        <v>0</v>
      </c>
      <c r="AG345" s="3">
        <f>R345*Feuil2!$C$3</f>
        <v>0</v>
      </c>
      <c r="AH345" s="3">
        <f>S345*Feuil2!$D$3</f>
        <v>45.355416001900949</v>
      </c>
      <c r="AI345" s="3">
        <f>T345*Feuil2!$E$2</f>
        <v>0</v>
      </c>
      <c r="AJ345" s="3">
        <f>U345*Feuil2!$F$3</f>
        <v>0</v>
      </c>
      <c r="AK345" s="3">
        <f>V345*Feuil2!$G$3</f>
        <v>0</v>
      </c>
      <c r="AL345" s="3">
        <f>W345*Feuil2!$H$3</f>
        <v>0</v>
      </c>
      <c r="AM345" s="3">
        <f>X345*Feuil2!$I$2</f>
        <v>0</v>
      </c>
      <c r="AN345" s="3">
        <f>Y345*Feuil2!$J$3</f>
        <v>0</v>
      </c>
      <c r="AO345" s="3">
        <f>Z345*Feuil2!$K$3</f>
        <v>0</v>
      </c>
      <c r="AP345" s="3">
        <f>AA345*Feuil2!$L$3</f>
        <v>0</v>
      </c>
      <c r="AQ345" s="3">
        <f>AB345*Feuil2!$M$3</f>
        <v>0</v>
      </c>
      <c r="AR345" s="3">
        <f>AC345*Feuil2!$N$3</f>
        <v>37.491809993363049</v>
      </c>
    </row>
    <row r="346" spans="1:44" x14ac:dyDescent="0.35">
      <c r="A346" t="s">
        <v>683</v>
      </c>
      <c r="B346" t="s">
        <v>684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34</v>
      </c>
      <c r="N346">
        <v>0</v>
      </c>
      <c r="O346">
        <v>34</v>
      </c>
      <c r="Q346" s="1">
        <f>C346/$C$434</f>
        <v>0</v>
      </c>
      <c r="R346" s="1">
        <f t="shared" si="75"/>
        <v>0</v>
      </c>
      <c r="S346" s="1">
        <f t="shared" si="79"/>
        <v>0</v>
      </c>
      <c r="T346" s="1">
        <f t="shared" si="80"/>
        <v>0</v>
      </c>
      <c r="U346" s="1">
        <f t="shared" si="81"/>
        <v>0</v>
      </c>
      <c r="V346" s="1">
        <f t="shared" si="82"/>
        <v>0</v>
      </c>
      <c r="W346" s="1">
        <f t="shared" si="83"/>
        <v>0</v>
      </c>
      <c r="X346" s="1">
        <f t="shared" si="84"/>
        <v>0</v>
      </c>
      <c r="Y346" s="1">
        <f t="shared" si="85"/>
        <v>0</v>
      </c>
      <c r="Z346" s="1">
        <f t="shared" si="76"/>
        <v>0</v>
      </c>
      <c r="AA346" s="1">
        <f t="shared" si="72"/>
        <v>8.5121297849435451E-4</v>
      </c>
      <c r="AB346" s="1">
        <f t="shared" si="73"/>
        <v>0</v>
      </c>
      <c r="AC346" s="1">
        <f t="shared" si="74"/>
        <v>8.9546263813828055E-5</v>
      </c>
      <c r="AD346" s="1" t="str">
        <f t="shared" si="77"/>
        <v>CLAUDE FOURNIS AUTOMOBILES FOR</v>
      </c>
      <c r="AE346" s="1" t="str">
        <f t="shared" si="78"/>
        <v>5540</v>
      </c>
      <c r="AF346" s="3">
        <f>Q346*Feuil2!$B$3</f>
        <v>0</v>
      </c>
      <c r="AG346" s="3">
        <f>R346*Feuil2!$C$3</f>
        <v>0</v>
      </c>
      <c r="AH346" s="3">
        <f>S346*Feuil2!$D$3</f>
        <v>0</v>
      </c>
      <c r="AI346" s="3">
        <f>T346*Feuil2!$E$2</f>
        <v>0</v>
      </c>
      <c r="AJ346" s="3">
        <f>U346*Feuil2!$F$3</f>
        <v>0</v>
      </c>
      <c r="AK346" s="3">
        <f>V346*Feuil2!$G$3</f>
        <v>0</v>
      </c>
      <c r="AL346" s="3">
        <f>W346*Feuil2!$H$3</f>
        <v>0</v>
      </c>
      <c r="AM346" s="3">
        <f>X346*Feuil2!$I$2</f>
        <v>0</v>
      </c>
      <c r="AN346" s="3">
        <f>Y346*Feuil2!$J$3</f>
        <v>0</v>
      </c>
      <c r="AO346" s="3">
        <f>Z346*Feuil2!$K$3</f>
        <v>0</v>
      </c>
      <c r="AP346" s="3">
        <f>AA346*Feuil2!$L$3</f>
        <v>30.947958841348928</v>
      </c>
      <c r="AQ346" s="3">
        <f>AB346*Feuil2!$M$3</f>
        <v>0</v>
      </c>
      <c r="AR346" s="3">
        <f>AC346*Feuil2!$N$3</f>
        <v>37.491809993363049</v>
      </c>
    </row>
    <row r="347" spans="1:44" x14ac:dyDescent="0.35">
      <c r="A347" t="s">
        <v>685</v>
      </c>
      <c r="B347" t="s">
        <v>686</v>
      </c>
      <c r="C347">
        <v>16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18</v>
      </c>
      <c r="N347">
        <v>0</v>
      </c>
      <c r="O347">
        <v>34</v>
      </c>
      <c r="Q347" s="1">
        <f>C347/$C$434</f>
        <v>3.9497395640474957E-4</v>
      </c>
      <c r="R347" s="1">
        <f t="shared" si="75"/>
        <v>0</v>
      </c>
      <c r="S347" s="1">
        <f t="shared" si="79"/>
        <v>0</v>
      </c>
      <c r="T347" s="1">
        <f t="shared" si="80"/>
        <v>0</v>
      </c>
      <c r="U347" s="1">
        <f t="shared" si="81"/>
        <v>0</v>
      </c>
      <c r="V347" s="1">
        <f t="shared" si="82"/>
        <v>0</v>
      </c>
      <c r="W347" s="1">
        <f t="shared" si="83"/>
        <v>0</v>
      </c>
      <c r="X347" s="1">
        <f t="shared" si="84"/>
        <v>0</v>
      </c>
      <c r="Y347" s="1">
        <f t="shared" si="85"/>
        <v>0</v>
      </c>
      <c r="Z347" s="1">
        <f t="shared" si="76"/>
        <v>0</v>
      </c>
      <c r="AA347" s="1">
        <f t="shared" si="72"/>
        <v>4.5064216508524648E-4</v>
      </c>
      <c r="AB347" s="1">
        <f t="shared" si="73"/>
        <v>0</v>
      </c>
      <c r="AC347" s="1">
        <f t="shared" si="74"/>
        <v>8.9546263813828055E-5</v>
      </c>
      <c r="AD347" s="1" t="str">
        <f t="shared" si="77"/>
        <v>HANNOT THIERRY</v>
      </c>
      <c r="AE347" s="1" t="str">
        <f t="shared" si="78"/>
        <v>4235</v>
      </c>
      <c r="AF347" s="3">
        <f>Q347*Feuil2!$B$3</f>
        <v>13.972172109901503</v>
      </c>
      <c r="AG347" s="3">
        <f>R347*Feuil2!$C$3</f>
        <v>0</v>
      </c>
      <c r="AH347" s="3">
        <f>S347*Feuil2!$D$3</f>
        <v>0</v>
      </c>
      <c r="AI347" s="3">
        <f>T347*Feuil2!$E$2</f>
        <v>0</v>
      </c>
      <c r="AJ347" s="3">
        <f>U347*Feuil2!$F$3</f>
        <v>0</v>
      </c>
      <c r="AK347" s="3">
        <f>V347*Feuil2!$G$3</f>
        <v>0</v>
      </c>
      <c r="AL347" s="3">
        <f>W347*Feuil2!$H$3</f>
        <v>0</v>
      </c>
      <c r="AM347" s="3">
        <f>X347*Feuil2!$I$2</f>
        <v>0</v>
      </c>
      <c r="AN347" s="3">
        <f>Y347*Feuil2!$J$3</f>
        <v>0</v>
      </c>
      <c r="AO347" s="3">
        <f>Z347*Feuil2!$K$3</f>
        <v>0</v>
      </c>
      <c r="AP347" s="3">
        <f>AA347*Feuil2!$L$3</f>
        <v>16.384213504243547</v>
      </c>
      <c r="AQ347" s="3">
        <f>AB347*Feuil2!$M$3</f>
        <v>0</v>
      </c>
      <c r="AR347" s="3">
        <f>AC347*Feuil2!$N$3</f>
        <v>37.491809993363049</v>
      </c>
    </row>
    <row r="348" spans="1:44" x14ac:dyDescent="0.35">
      <c r="A348" t="s">
        <v>687</v>
      </c>
      <c r="B348" t="s">
        <v>688</v>
      </c>
      <c r="C348">
        <v>16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18</v>
      </c>
      <c r="N348">
        <v>0</v>
      </c>
      <c r="O348">
        <v>34</v>
      </c>
      <c r="Q348" s="1">
        <f>C348/$C$434</f>
        <v>3.9497395640474957E-4</v>
      </c>
      <c r="R348" s="1">
        <f t="shared" si="75"/>
        <v>0</v>
      </c>
      <c r="S348" s="1">
        <f t="shared" si="79"/>
        <v>0</v>
      </c>
      <c r="T348" s="1">
        <f t="shared" si="80"/>
        <v>0</v>
      </c>
      <c r="U348" s="1">
        <f t="shared" si="81"/>
        <v>0</v>
      </c>
      <c r="V348" s="1">
        <f t="shared" si="82"/>
        <v>0</v>
      </c>
      <c r="W348" s="1">
        <f t="shared" si="83"/>
        <v>0</v>
      </c>
      <c r="X348" s="1">
        <f t="shared" si="84"/>
        <v>0</v>
      </c>
      <c r="Y348" s="1">
        <f t="shared" si="85"/>
        <v>0</v>
      </c>
      <c r="Z348" s="1">
        <f t="shared" si="76"/>
        <v>0</v>
      </c>
      <c r="AA348" s="1">
        <f t="shared" si="72"/>
        <v>4.5064216508524648E-4</v>
      </c>
      <c r="AB348" s="1">
        <f t="shared" si="73"/>
        <v>0</v>
      </c>
      <c r="AC348" s="1">
        <f t="shared" si="74"/>
        <v>8.9546263813828055E-5</v>
      </c>
      <c r="AD348" s="1" t="str">
        <f t="shared" si="77"/>
        <v>JSB AUTO AGENT CITROEN</v>
      </c>
      <c r="AE348" s="1" t="str">
        <f t="shared" si="78"/>
        <v>4934</v>
      </c>
      <c r="AF348" s="3">
        <f>Q348*Feuil2!$B$3</f>
        <v>13.972172109901503</v>
      </c>
      <c r="AG348" s="3">
        <f>R348*Feuil2!$C$3</f>
        <v>0</v>
      </c>
      <c r="AH348" s="3">
        <f>S348*Feuil2!$D$3</f>
        <v>0</v>
      </c>
      <c r="AI348" s="3">
        <f>T348*Feuil2!$E$2</f>
        <v>0</v>
      </c>
      <c r="AJ348" s="3">
        <f>U348*Feuil2!$F$3</f>
        <v>0</v>
      </c>
      <c r="AK348" s="3">
        <f>V348*Feuil2!$G$3</f>
        <v>0</v>
      </c>
      <c r="AL348" s="3">
        <f>W348*Feuil2!$H$3</f>
        <v>0</v>
      </c>
      <c r="AM348" s="3">
        <f>X348*Feuil2!$I$2</f>
        <v>0</v>
      </c>
      <c r="AN348" s="3">
        <f>Y348*Feuil2!$J$3</f>
        <v>0</v>
      </c>
      <c r="AO348" s="3">
        <f>Z348*Feuil2!$K$3</f>
        <v>0</v>
      </c>
      <c r="AP348" s="3">
        <f>AA348*Feuil2!$L$3</f>
        <v>16.384213504243547</v>
      </c>
      <c r="AQ348" s="3">
        <f>AB348*Feuil2!$M$3</f>
        <v>0</v>
      </c>
      <c r="AR348" s="3">
        <f>AC348*Feuil2!$N$3</f>
        <v>37.491809993363049</v>
      </c>
    </row>
    <row r="349" spans="1:44" x14ac:dyDescent="0.35">
      <c r="A349" t="s">
        <v>689</v>
      </c>
      <c r="B349" t="s">
        <v>598</v>
      </c>
      <c r="C349">
        <v>0</v>
      </c>
      <c r="D349">
        <v>34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34</v>
      </c>
      <c r="Q349" s="1">
        <f>C349/$C$434</f>
        <v>0</v>
      </c>
      <c r="R349" s="1">
        <f t="shared" si="75"/>
        <v>1.4332686957254869E-3</v>
      </c>
      <c r="S349" s="1">
        <f t="shared" si="79"/>
        <v>0</v>
      </c>
      <c r="T349" s="1">
        <f t="shared" si="80"/>
        <v>0</v>
      </c>
      <c r="U349" s="1">
        <f t="shared" si="81"/>
        <v>0</v>
      </c>
      <c r="V349" s="1">
        <f t="shared" si="82"/>
        <v>0</v>
      </c>
      <c r="W349" s="1">
        <f t="shared" si="83"/>
        <v>0</v>
      </c>
      <c r="X349" s="1">
        <f t="shared" si="84"/>
        <v>0</v>
      </c>
      <c r="Y349" s="1">
        <f t="shared" si="85"/>
        <v>0</v>
      </c>
      <c r="Z349" s="1">
        <f t="shared" si="76"/>
        <v>0</v>
      </c>
      <c r="AA349" s="1">
        <f t="shared" si="72"/>
        <v>0</v>
      </c>
      <c r="AB349" s="1">
        <f t="shared" si="73"/>
        <v>0</v>
      </c>
      <c r="AC349" s="1">
        <f t="shared" si="74"/>
        <v>8.9546263813828055E-5</v>
      </c>
      <c r="AD349" s="1" t="str">
        <f t="shared" si="77"/>
        <v>LB AUTO</v>
      </c>
      <c r="AE349" s="1" t="str">
        <f t="shared" si="78"/>
        <v>9133</v>
      </c>
      <c r="AF349" s="3">
        <f>Q349*Feuil2!$B$3</f>
        <v>0</v>
      </c>
      <c r="AG349" s="3">
        <f>R349*Feuil2!$C$3</f>
        <v>50.701765449793442</v>
      </c>
      <c r="AH349" s="3">
        <f>S349*Feuil2!$D$3</f>
        <v>0</v>
      </c>
      <c r="AI349" s="3">
        <f>T349*Feuil2!$E$2</f>
        <v>0</v>
      </c>
      <c r="AJ349" s="3">
        <f>U349*Feuil2!$F$3</f>
        <v>0</v>
      </c>
      <c r="AK349" s="3">
        <f>V349*Feuil2!$G$3</f>
        <v>0</v>
      </c>
      <c r="AL349" s="3">
        <f>W349*Feuil2!$H$3</f>
        <v>0</v>
      </c>
      <c r="AM349" s="3">
        <f>X349*Feuil2!$I$2</f>
        <v>0</v>
      </c>
      <c r="AN349" s="3">
        <f>Y349*Feuil2!$J$3</f>
        <v>0</v>
      </c>
      <c r="AO349" s="3">
        <f>Z349*Feuil2!$K$3</f>
        <v>0</v>
      </c>
      <c r="AP349" s="3">
        <f>AA349*Feuil2!$L$3</f>
        <v>0</v>
      </c>
      <c r="AQ349" s="3">
        <f>AB349*Feuil2!$M$3</f>
        <v>0</v>
      </c>
      <c r="AR349" s="3">
        <f>AC349*Feuil2!$N$3</f>
        <v>37.491809993363049</v>
      </c>
    </row>
    <row r="350" spans="1:44" x14ac:dyDescent="0.35">
      <c r="A350" t="s">
        <v>690</v>
      </c>
      <c r="B350" t="s">
        <v>691</v>
      </c>
      <c r="C350">
        <v>34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34</v>
      </c>
      <c r="Q350" s="1">
        <f>C350/$C$434</f>
        <v>8.3931965736009284E-4</v>
      </c>
      <c r="R350" s="1">
        <f t="shared" si="75"/>
        <v>0</v>
      </c>
      <c r="S350" s="1">
        <f t="shared" si="79"/>
        <v>0</v>
      </c>
      <c r="T350" s="1">
        <f t="shared" si="80"/>
        <v>0</v>
      </c>
      <c r="U350" s="1">
        <f t="shared" si="81"/>
        <v>0</v>
      </c>
      <c r="V350" s="1">
        <f t="shared" si="82"/>
        <v>0</v>
      </c>
      <c r="W350" s="1">
        <f t="shared" si="83"/>
        <v>0</v>
      </c>
      <c r="X350" s="1">
        <f t="shared" si="84"/>
        <v>0</v>
      </c>
      <c r="Y350" s="1">
        <f t="shared" si="85"/>
        <v>0</v>
      </c>
      <c r="Z350" s="1">
        <f t="shared" si="76"/>
        <v>0</v>
      </c>
      <c r="AA350" s="1">
        <f t="shared" si="72"/>
        <v>0</v>
      </c>
      <c r="AB350" s="1">
        <f t="shared" si="73"/>
        <v>0</v>
      </c>
      <c r="AC350" s="1">
        <f t="shared" si="74"/>
        <v>8.9546263813828055E-5</v>
      </c>
      <c r="AD350" s="1" t="str">
        <f t="shared" si="77"/>
        <v>ROYERE</v>
      </c>
      <c r="AE350" s="1" t="str">
        <f t="shared" si="78"/>
        <v>9706</v>
      </c>
      <c r="AF350" s="3">
        <f>Q350*Feuil2!$B$3</f>
        <v>29.690865733540694</v>
      </c>
      <c r="AG350" s="3">
        <f>R350*Feuil2!$C$3</f>
        <v>0</v>
      </c>
      <c r="AH350" s="3">
        <f>S350*Feuil2!$D$3</f>
        <v>0</v>
      </c>
      <c r="AI350" s="3">
        <f>T350*Feuil2!$E$2</f>
        <v>0</v>
      </c>
      <c r="AJ350" s="3">
        <f>U350*Feuil2!$F$3</f>
        <v>0</v>
      </c>
      <c r="AK350" s="3">
        <f>V350*Feuil2!$G$3</f>
        <v>0</v>
      </c>
      <c r="AL350" s="3">
        <f>W350*Feuil2!$H$3</f>
        <v>0</v>
      </c>
      <c r="AM350" s="3">
        <f>X350*Feuil2!$I$2</f>
        <v>0</v>
      </c>
      <c r="AN350" s="3">
        <f>Y350*Feuil2!$J$3</f>
        <v>0</v>
      </c>
      <c r="AO350" s="3">
        <f>Z350*Feuil2!$K$3</f>
        <v>0</v>
      </c>
      <c r="AP350" s="3">
        <f>AA350*Feuil2!$L$3</f>
        <v>0</v>
      </c>
      <c r="AQ350" s="3">
        <f>AB350*Feuil2!$M$3</f>
        <v>0</v>
      </c>
      <c r="AR350" s="3">
        <f>AC350*Feuil2!$N$3</f>
        <v>37.491809993363049</v>
      </c>
    </row>
    <row r="351" spans="1:44" x14ac:dyDescent="0.35">
      <c r="A351" t="s">
        <v>692</v>
      </c>
      <c r="B351" t="s">
        <v>304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65</v>
      </c>
      <c r="L351">
        <v>-31</v>
      </c>
      <c r="M351">
        <v>0</v>
      </c>
      <c r="N351">
        <v>0</v>
      </c>
      <c r="O351">
        <v>34</v>
      </c>
      <c r="Q351" s="1">
        <f>C351/$C$434</f>
        <v>0</v>
      </c>
      <c r="R351" s="1">
        <f t="shared" si="75"/>
        <v>0</v>
      </c>
      <c r="S351" s="1">
        <f t="shared" si="79"/>
        <v>0</v>
      </c>
      <c r="T351" s="1">
        <f t="shared" si="80"/>
        <v>0</v>
      </c>
      <c r="U351" s="1">
        <f t="shared" si="81"/>
        <v>0</v>
      </c>
      <c r="V351" s="1">
        <f t="shared" si="82"/>
        <v>0</v>
      </c>
      <c r="W351" s="1">
        <f t="shared" si="83"/>
        <v>0</v>
      </c>
      <c r="X351" s="1">
        <f t="shared" si="84"/>
        <v>0</v>
      </c>
      <c r="Y351" s="1">
        <f t="shared" si="85"/>
        <v>1.6635528369974152E-3</v>
      </c>
      <c r="Z351" s="1">
        <f t="shared" si="76"/>
        <v>-7.8664230613073485E-4</v>
      </c>
      <c r="AA351" s="1">
        <f t="shared" si="72"/>
        <v>0</v>
      </c>
      <c r="AB351" s="1">
        <f t="shared" si="73"/>
        <v>0</v>
      </c>
      <c r="AC351" s="1">
        <f t="shared" si="74"/>
        <v>8.9546263813828055E-5</v>
      </c>
      <c r="AD351" s="1" t="str">
        <f t="shared" si="77"/>
        <v>SARL CVIO</v>
      </c>
      <c r="AE351" s="1" t="str">
        <f t="shared" si="78"/>
        <v>6162</v>
      </c>
      <c r="AF351" s="3">
        <f>Q351*Feuil2!$B$3</f>
        <v>0</v>
      </c>
      <c r="AG351" s="3">
        <f>R351*Feuil2!$C$3</f>
        <v>0</v>
      </c>
      <c r="AH351" s="3">
        <f>S351*Feuil2!$D$3</f>
        <v>0</v>
      </c>
      <c r="AI351" s="3">
        <f>T351*Feuil2!$E$2</f>
        <v>0</v>
      </c>
      <c r="AJ351" s="3">
        <f>U351*Feuil2!$F$3</f>
        <v>0</v>
      </c>
      <c r="AK351" s="3">
        <f>V351*Feuil2!$G$3</f>
        <v>0</v>
      </c>
      <c r="AL351" s="3">
        <f>W351*Feuil2!$H$3</f>
        <v>0</v>
      </c>
      <c r="AM351" s="3">
        <f>X351*Feuil2!$I$2</f>
        <v>0</v>
      </c>
      <c r="AN351" s="3">
        <f>Y351*Feuil2!$J$3</f>
        <v>70.289831853197867</v>
      </c>
      <c r="AO351" s="3">
        <f>Z351*Feuil2!$K$3</f>
        <v>-31.69202496954933</v>
      </c>
      <c r="AP351" s="3">
        <f>AA351*Feuil2!$L$3</f>
        <v>0</v>
      </c>
      <c r="AQ351" s="3">
        <f>AB351*Feuil2!$M$3</f>
        <v>0</v>
      </c>
      <c r="AR351" s="3">
        <f>AC351*Feuil2!$N$3</f>
        <v>37.491809993363049</v>
      </c>
    </row>
    <row r="352" spans="1:44" x14ac:dyDescent="0.35">
      <c r="A352" t="s">
        <v>693</v>
      </c>
      <c r="B352" t="s">
        <v>694</v>
      </c>
      <c r="C352">
        <v>0</v>
      </c>
      <c r="D352">
        <v>0</v>
      </c>
      <c r="E352">
        <v>0</v>
      </c>
      <c r="F352">
        <v>0</v>
      </c>
      <c r="G352">
        <v>19</v>
      </c>
      <c r="H352">
        <v>0</v>
      </c>
      <c r="I352">
        <v>15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34</v>
      </c>
      <c r="Q352" s="1">
        <f>C352/$C$434</f>
        <v>0</v>
      </c>
      <c r="R352" s="1">
        <f t="shared" si="75"/>
        <v>0</v>
      </c>
      <c r="S352" s="1">
        <f t="shared" si="79"/>
        <v>0</v>
      </c>
      <c r="T352" s="1">
        <f t="shared" si="80"/>
        <v>0</v>
      </c>
      <c r="U352" s="1">
        <f t="shared" si="81"/>
        <v>9.0571074458957001E-4</v>
      </c>
      <c r="V352" s="1">
        <f t="shared" si="82"/>
        <v>0</v>
      </c>
      <c r="W352" s="1">
        <f t="shared" si="83"/>
        <v>3.3588606744592236E-4</v>
      </c>
      <c r="X352" s="1">
        <f t="shared" si="84"/>
        <v>0</v>
      </c>
      <c r="Y352" s="1">
        <f t="shared" si="85"/>
        <v>0</v>
      </c>
      <c r="Z352" s="1">
        <f t="shared" si="76"/>
        <v>0</v>
      </c>
      <c r="AA352" s="1">
        <f t="shared" si="72"/>
        <v>0</v>
      </c>
      <c r="AB352" s="1">
        <f t="shared" si="73"/>
        <v>0</v>
      </c>
      <c r="AC352" s="1">
        <f t="shared" si="74"/>
        <v>8.9546263813828055E-5</v>
      </c>
      <c r="AD352" s="1" t="str">
        <f t="shared" si="77"/>
        <v>VAN DER WAGEN</v>
      </c>
      <c r="AE352" s="1" t="str">
        <f t="shared" si="78"/>
        <v>3660</v>
      </c>
      <c r="AF352" s="3">
        <f>Q352*Feuil2!$B$3</f>
        <v>0</v>
      </c>
      <c r="AG352" s="3">
        <f>R352*Feuil2!$C$3</f>
        <v>0</v>
      </c>
      <c r="AH352" s="3">
        <f>S352*Feuil2!$D$3</f>
        <v>0</v>
      </c>
      <c r="AI352" s="3">
        <f>T352*Feuil2!$E$2</f>
        <v>0</v>
      </c>
      <c r="AJ352" s="3">
        <f>U352*Feuil2!$F$3</f>
        <v>23.139460387072173</v>
      </c>
      <c r="AK352" s="3">
        <f>V352*Feuil2!$G$3</f>
        <v>0</v>
      </c>
      <c r="AL352" s="3">
        <f>W352*Feuil2!$H$3</f>
        <v>12.211970979443775</v>
      </c>
      <c r="AM352" s="3">
        <f>X352*Feuil2!$I$2</f>
        <v>0</v>
      </c>
      <c r="AN352" s="3">
        <f>Y352*Feuil2!$J$3</f>
        <v>0</v>
      </c>
      <c r="AO352" s="3">
        <f>Z352*Feuil2!$K$3</f>
        <v>0</v>
      </c>
      <c r="AP352" s="3">
        <f>AA352*Feuil2!$L$3</f>
        <v>0</v>
      </c>
      <c r="AQ352" s="3">
        <f>AB352*Feuil2!$M$3</f>
        <v>0</v>
      </c>
      <c r="AR352" s="3">
        <f>AC352*Feuil2!$N$3</f>
        <v>37.491809993363049</v>
      </c>
    </row>
    <row r="353" spans="1:44" x14ac:dyDescent="0.35">
      <c r="A353" t="s">
        <v>695</v>
      </c>
      <c r="B353" t="s">
        <v>696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33</v>
      </c>
      <c r="L353">
        <v>0</v>
      </c>
      <c r="M353">
        <v>0</v>
      </c>
      <c r="N353">
        <v>0</v>
      </c>
      <c r="O353">
        <v>33</v>
      </c>
      <c r="Q353" s="1">
        <f>C353/$C$434</f>
        <v>0</v>
      </c>
      <c r="R353" s="1">
        <f t="shared" si="75"/>
        <v>0</v>
      </c>
      <c r="S353" s="1">
        <f t="shared" si="79"/>
        <v>0</v>
      </c>
      <c r="T353" s="1">
        <f t="shared" si="80"/>
        <v>0</v>
      </c>
      <c r="U353" s="1">
        <f t="shared" si="81"/>
        <v>0</v>
      </c>
      <c r="V353" s="1">
        <f t="shared" si="82"/>
        <v>0</v>
      </c>
      <c r="W353" s="1">
        <f t="shared" si="83"/>
        <v>0</v>
      </c>
      <c r="X353" s="1">
        <f t="shared" si="84"/>
        <v>0</v>
      </c>
      <c r="Y353" s="1">
        <f t="shared" si="85"/>
        <v>8.4457297878330303E-4</v>
      </c>
      <c r="Z353" s="1">
        <f t="shared" si="76"/>
        <v>0</v>
      </c>
      <c r="AA353" s="1">
        <f t="shared" si="72"/>
        <v>0</v>
      </c>
      <c r="AB353" s="1">
        <f t="shared" si="73"/>
        <v>0</v>
      </c>
      <c r="AC353" s="1">
        <f t="shared" si="74"/>
        <v>8.6912550172244877E-5</v>
      </c>
      <c r="AD353" s="1" t="str">
        <f t="shared" si="77"/>
        <v>DES AILES</v>
      </c>
      <c r="AE353" s="1" t="str">
        <f t="shared" si="78"/>
        <v>3245</v>
      </c>
      <c r="AF353" s="3">
        <f>Q353*Feuil2!$B$3</f>
        <v>0</v>
      </c>
      <c r="AG353" s="3">
        <f>R353*Feuil2!$C$3</f>
        <v>0</v>
      </c>
      <c r="AH353" s="3">
        <f>S353*Feuil2!$D$3</f>
        <v>0</v>
      </c>
      <c r="AI353" s="3">
        <f>T353*Feuil2!$E$2</f>
        <v>0</v>
      </c>
      <c r="AJ353" s="3">
        <f>U353*Feuil2!$F$3</f>
        <v>0</v>
      </c>
      <c r="AK353" s="3">
        <f>V353*Feuil2!$G$3</f>
        <v>0</v>
      </c>
      <c r="AL353" s="3">
        <f>W353*Feuil2!$H$3</f>
        <v>0</v>
      </c>
      <c r="AM353" s="3">
        <f>X353*Feuil2!$I$2</f>
        <v>0</v>
      </c>
      <c r="AN353" s="3">
        <f>Y353*Feuil2!$J$3</f>
        <v>35.685606940854299</v>
      </c>
      <c r="AO353" s="3">
        <f>Z353*Feuil2!$K$3</f>
        <v>0</v>
      </c>
      <c r="AP353" s="3">
        <f>AA353*Feuil2!$L$3</f>
        <v>0</v>
      </c>
      <c r="AQ353" s="3">
        <f>AB353*Feuil2!$M$3</f>
        <v>0</v>
      </c>
      <c r="AR353" s="3">
        <f>AC353*Feuil2!$N$3</f>
        <v>36.389109699440603</v>
      </c>
    </row>
    <row r="354" spans="1:44" x14ac:dyDescent="0.35">
      <c r="A354" t="s">
        <v>697</v>
      </c>
      <c r="B354" t="s">
        <v>698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33</v>
      </c>
      <c r="M354">
        <v>0</v>
      </c>
      <c r="N354">
        <v>0</v>
      </c>
      <c r="O354">
        <v>33</v>
      </c>
      <c r="Q354" s="1">
        <f>C354/$C$434</f>
        <v>0</v>
      </c>
      <c r="R354" s="1">
        <f t="shared" si="75"/>
        <v>0</v>
      </c>
      <c r="S354" s="1">
        <f t="shared" si="79"/>
        <v>0</v>
      </c>
      <c r="T354" s="1">
        <f t="shared" si="80"/>
        <v>0</v>
      </c>
      <c r="U354" s="1">
        <f t="shared" si="81"/>
        <v>0</v>
      </c>
      <c r="V354" s="1">
        <f t="shared" si="82"/>
        <v>0</v>
      </c>
      <c r="W354" s="1">
        <f t="shared" si="83"/>
        <v>0</v>
      </c>
      <c r="X354" s="1">
        <f t="shared" si="84"/>
        <v>0</v>
      </c>
      <c r="Y354" s="1">
        <f t="shared" si="85"/>
        <v>0</v>
      </c>
      <c r="Z354" s="1">
        <f t="shared" si="76"/>
        <v>8.3739342265529843E-4</v>
      </c>
      <c r="AA354" s="1">
        <f t="shared" si="72"/>
        <v>0</v>
      </c>
      <c r="AB354" s="1">
        <f t="shared" si="73"/>
        <v>0</v>
      </c>
      <c r="AC354" s="1">
        <f t="shared" si="74"/>
        <v>8.6912550172244877E-5</v>
      </c>
      <c r="AD354" s="1" t="str">
        <f t="shared" si="77"/>
        <v>DES RONCHETTES</v>
      </c>
      <c r="AE354" s="1" t="str">
        <f t="shared" si="78"/>
        <v>6146</v>
      </c>
      <c r="AF354" s="3">
        <f>Q354*Feuil2!$B$3</f>
        <v>0</v>
      </c>
      <c r="AG354" s="3">
        <f>R354*Feuil2!$C$3</f>
        <v>0</v>
      </c>
      <c r="AH354" s="3">
        <f>S354*Feuil2!$D$3</f>
        <v>0</v>
      </c>
      <c r="AI354" s="3">
        <f>T354*Feuil2!$E$2</f>
        <v>0</v>
      </c>
      <c r="AJ354" s="3">
        <f>U354*Feuil2!$F$3</f>
        <v>0</v>
      </c>
      <c r="AK354" s="3">
        <f>V354*Feuil2!$G$3</f>
        <v>0</v>
      </c>
      <c r="AL354" s="3">
        <f>W354*Feuil2!$H$3</f>
        <v>0</v>
      </c>
      <c r="AM354" s="3">
        <f>X354*Feuil2!$I$2</f>
        <v>0</v>
      </c>
      <c r="AN354" s="3">
        <f>Y354*Feuil2!$J$3</f>
        <v>0</v>
      </c>
      <c r="AO354" s="3">
        <f>Z354*Feuil2!$K$3</f>
        <v>33.736671741778324</v>
      </c>
      <c r="AP354" s="3">
        <f>AA354*Feuil2!$L$3</f>
        <v>0</v>
      </c>
      <c r="AQ354" s="3">
        <f>AB354*Feuil2!$M$3</f>
        <v>0</v>
      </c>
      <c r="AR354" s="3">
        <f>AC354*Feuil2!$N$3</f>
        <v>36.389109699440603</v>
      </c>
    </row>
    <row r="355" spans="1:44" x14ac:dyDescent="0.35">
      <c r="A355" t="s">
        <v>699</v>
      </c>
      <c r="B355" t="s">
        <v>423</v>
      </c>
      <c r="C355">
        <v>0</v>
      </c>
      <c r="D355">
        <v>33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33</v>
      </c>
      <c r="Q355" s="1">
        <f>C355/$C$434</f>
        <v>0</v>
      </c>
      <c r="R355" s="1">
        <f t="shared" si="75"/>
        <v>1.3911137340865019E-3</v>
      </c>
      <c r="S355" s="1">
        <f t="shared" si="79"/>
        <v>0</v>
      </c>
      <c r="T355" s="1">
        <f t="shared" si="80"/>
        <v>0</v>
      </c>
      <c r="U355" s="1">
        <f t="shared" si="81"/>
        <v>0</v>
      </c>
      <c r="V355" s="1">
        <f t="shared" si="82"/>
        <v>0</v>
      </c>
      <c r="W355" s="1">
        <f t="shared" si="83"/>
        <v>0</v>
      </c>
      <c r="X355" s="1">
        <f t="shared" si="84"/>
        <v>0</v>
      </c>
      <c r="Y355" s="1">
        <f t="shared" si="85"/>
        <v>0</v>
      </c>
      <c r="Z355" s="1">
        <f t="shared" si="76"/>
        <v>0</v>
      </c>
      <c r="AA355" s="1">
        <f t="shared" si="72"/>
        <v>0</v>
      </c>
      <c r="AB355" s="1">
        <f t="shared" si="73"/>
        <v>0</v>
      </c>
      <c r="AC355" s="1">
        <f t="shared" si="74"/>
        <v>8.6912550172244877E-5</v>
      </c>
      <c r="AD355" s="1" t="str">
        <f t="shared" si="77"/>
        <v>GARAGE LEROY</v>
      </c>
      <c r="AE355" s="1" t="str">
        <f t="shared" si="78"/>
        <v>3046</v>
      </c>
      <c r="AF355" s="3">
        <f>Q355*Feuil2!$B$3</f>
        <v>0</v>
      </c>
      <c r="AG355" s="3">
        <f>R355*Feuil2!$C$3</f>
        <v>49.210537054211272</v>
      </c>
      <c r="AH355" s="3">
        <f>S355*Feuil2!$D$3</f>
        <v>0</v>
      </c>
      <c r="AI355" s="3">
        <f>T355*Feuil2!$E$2</f>
        <v>0</v>
      </c>
      <c r="AJ355" s="3">
        <f>U355*Feuil2!$F$3</f>
        <v>0</v>
      </c>
      <c r="AK355" s="3">
        <f>V355*Feuil2!$G$3</f>
        <v>0</v>
      </c>
      <c r="AL355" s="3">
        <f>W355*Feuil2!$H$3</f>
        <v>0</v>
      </c>
      <c r="AM355" s="3">
        <f>X355*Feuil2!$I$2</f>
        <v>0</v>
      </c>
      <c r="AN355" s="3">
        <f>Y355*Feuil2!$J$3</f>
        <v>0</v>
      </c>
      <c r="AO355" s="3">
        <f>Z355*Feuil2!$K$3</f>
        <v>0</v>
      </c>
      <c r="AP355" s="3">
        <f>AA355*Feuil2!$L$3</f>
        <v>0</v>
      </c>
      <c r="AQ355" s="3">
        <f>AB355*Feuil2!$M$3</f>
        <v>0</v>
      </c>
      <c r="AR355" s="3">
        <f>AC355*Feuil2!$N$3</f>
        <v>36.389109699440603</v>
      </c>
    </row>
    <row r="356" spans="1:44" x14ac:dyDescent="0.35">
      <c r="A356" t="s">
        <v>700</v>
      </c>
      <c r="B356" t="s">
        <v>701</v>
      </c>
      <c r="C356">
        <v>0</v>
      </c>
      <c r="D356">
        <v>0</v>
      </c>
      <c r="E356">
        <v>32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32</v>
      </c>
      <c r="Q356" s="1">
        <f>C356/$C$434</f>
        <v>0</v>
      </c>
      <c r="R356" s="1">
        <f t="shared" si="75"/>
        <v>0</v>
      </c>
      <c r="S356" s="1">
        <f t="shared" si="79"/>
        <v>1.0862554737092231E-3</v>
      </c>
      <c r="T356" s="1">
        <f t="shared" si="80"/>
        <v>0</v>
      </c>
      <c r="U356" s="1">
        <f t="shared" si="81"/>
        <v>0</v>
      </c>
      <c r="V356" s="1">
        <f t="shared" si="82"/>
        <v>0</v>
      </c>
      <c r="W356" s="1">
        <f t="shared" si="83"/>
        <v>0</v>
      </c>
      <c r="X356" s="1">
        <f t="shared" si="84"/>
        <v>0</v>
      </c>
      <c r="Y356" s="1">
        <f t="shared" si="85"/>
        <v>0</v>
      </c>
      <c r="Z356" s="1">
        <f t="shared" si="76"/>
        <v>0</v>
      </c>
      <c r="AA356" s="1">
        <f t="shared" si="72"/>
        <v>0</v>
      </c>
      <c r="AB356" s="1">
        <f t="shared" si="73"/>
        <v>0</v>
      </c>
      <c r="AC356" s="1">
        <f t="shared" si="74"/>
        <v>8.4278836530661698E-5</v>
      </c>
      <c r="AD356" s="1" t="str">
        <f t="shared" si="77"/>
        <v>CRV</v>
      </c>
      <c r="AE356" s="1" t="str">
        <f t="shared" si="78"/>
        <v>3439</v>
      </c>
      <c r="AF356" s="3">
        <f>Q356*Feuil2!$B$3</f>
        <v>0</v>
      </c>
      <c r="AG356" s="3">
        <f>R356*Feuil2!$C$3</f>
        <v>0</v>
      </c>
      <c r="AH356" s="3">
        <f>S356*Feuil2!$D$3</f>
        <v>42.687450354730309</v>
      </c>
      <c r="AI356" s="3">
        <f>T356*Feuil2!$E$2</f>
        <v>0</v>
      </c>
      <c r="AJ356" s="3">
        <f>U356*Feuil2!$F$3</f>
        <v>0</v>
      </c>
      <c r="AK356" s="3">
        <f>V356*Feuil2!$G$3</f>
        <v>0</v>
      </c>
      <c r="AL356" s="3">
        <f>W356*Feuil2!$H$3</f>
        <v>0</v>
      </c>
      <c r="AM356" s="3">
        <f>X356*Feuil2!$I$2</f>
        <v>0</v>
      </c>
      <c r="AN356" s="3">
        <f>Y356*Feuil2!$J$3</f>
        <v>0</v>
      </c>
      <c r="AO356" s="3">
        <f>Z356*Feuil2!$K$3</f>
        <v>0</v>
      </c>
      <c r="AP356" s="3">
        <f>AA356*Feuil2!$L$3</f>
        <v>0</v>
      </c>
      <c r="AQ356" s="3">
        <f>AB356*Feuil2!$M$3</f>
        <v>0</v>
      </c>
      <c r="AR356" s="3">
        <f>AC356*Feuil2!$N$3</f>
        <v>35.286409405518164</v>
      </c>
    </row>
    <row r="357" spans="1:44" x14ac:dyDescent="0.35">
      <c r="A357" t="s">
        <v>702</v>
      </c>
      <c r="B357" t="s">
        <v>703</v>
      </c>
      <c r="C357">
        <v>0</v>
      </c>
      <c r="D357">
        <v>0</v>
      </c>
      <c r="E357">
        <v>32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32</v>
      </c>
      <c r="Q357" s="1">
        <f>C357/$C$434</f>
        <v>0</v>
      </c>
      <c r="R357" s="1">
        <f t="shared" si="75"/>
        <v>0</v>
      </c>
      <c r="S357" s="1">
        <f t="shared" si="79"/>
        <v>1.0862554737092231E-3</v>
      </c>
      <c r="T357" s="1">
        <f t="shared" si="80"/>
        <v>0</v>
      </c>
      <c r="U357" s="1">
        <f t="shared" si="81"/>
        <v>0</v>
      </c>
      <c r="V357" s="1">
        <f t="shared" si="82"/>
        <v>0</v>
      </c>
      <c r="W357" s="1">
        <f t="shared" si="83"/>
        <v>0</v>
      </c>
      <c r="X357" s="1">
        <f t="shared" si="84"/>
        <v>0</v>
      </c>
      <c r="Y357" s="1">
        <f t="shared" si="85"/>
        <v>0</v>
      </c>
      <c r="Z357" s="1">
        <f t="shared" si="76"/>
        <v>0</v>
      </c>
      <c r="AA357" s="1">
        <f t="shared" si="72"/>
        <v>0</v>
      </c>
      <c r="AB357" s="1">
        <f t="shared" si="73"/>
        <v>0</v>
      </c>
      <c r="AC357" s="1">
        <f t="shared" si="74"/>
        <v>8.4278836530661698E-5</v>
      </c>
      <c r="AD357" s="1" t="str">
        <f t="shared" si="77"/>
        <v>DRT TRANSPORTS</v>
      </c>
      <c r="AE357" s="1" t="str">
        <f t="shared" si="78"/>
        <v>5283</v>
      </c>
      <c r="AF357" s="3">
        <f>Q357*Feuil2!$B$3</f>
        <v>0</v>
      </c>
      <c r="AG357" s="3">
        <f>R357*Feuil2!$C$3</f>
        <v>0</v>
      </c>
      <c r="AH357" s="3">
        <f>S357*Feuil2!$D$3</f>
        <v>42.687450354730309</v>
      </c>
      <c r="AI357" s="3">
        <f>T357*Feuil2!$E$2</f>
        <v>0</v>
      </c>
      <c r="AJ357" s="3">
        <f>U357*Feuil2!$F$3</f>
        <v>0</v>
      </c>
      <c r="AK357" s="3">
        <f>V357*Feuil2!$G$3</f>
        <v>0</v>
      </c>
      <c r="AL357" s="3">
        <f>W357*Feuil2!$H$3</f>
        <v>0</v>
      </c>
      <c r="AM357" s="3">
        <f>X357*Feuil2!$I$2</f>
        <v>0</v>
      </c>
      <c r="AN357" s="3">
        <f>Y357*Feuil2!$J$3</f>
        <v>0</v>
      </c>
      <c r="AO357" s="3">
        <f>Z357*Feuil2!$K$3</f>
        <v>0</v>
      </c>
      <c r="AP357" s="3">
        <f>AA357*Feuil2!$L$3</f>
        <v>0</v>
      </c>
      <c r="AQ357" s="3">
        <f>AB357*Feuil2!$M$3</f>
        <v>0</v>
      </c>
      <c r="AR357" s="3">
        <f>AC357*Feuil2!$N$3</f>
        <v>35.286409405518164</v>
      </c>
    </row>
    <row r="358" spans="1:44" x14ac:dyDescent="0.35">
      <c r="A358" t="s">
        <v>704</v>
      </c>
      <c r="B358" t="s">
        <v>705</v>
      </c>
      <c r="C358">
        <v>0</v>
      </c>
      <c r="D358">
        <v>0</v>
      </c>
      <c r="E358">
        <v>0</v>
      </c>
      <c r="F358">
        <v>11</v>
      </c>
      <c r="G358">
        <v>0</v>
      </c>
      <c r="H358">
        <v>20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31</v>
      </c>
      <c r="Q358" s="1">
        <f>C358/$C$434</f>
        <v>0</v>
      </c>
      <c r="R358" s="1">
        <f t="shared" si="75"/>
        <v>0</v>
      </c>
      <c r="S358" s="1">
        <f t="shared" si="79"/>
        <v>0</v>
      </c>
      <c r="T358" s="1">
        <f t="shared" si="80"/>
        <v>4.417138497369795E-4</v>
      </c>
      <c r="U358" s="1">
        <f t="shared" si="81"/>
        <v>0</v>
      </c>
      <c r="V358" s="1">
        <f t="shared" si="82"/>
        <v>6.6950088708867537E-4</v>
      </c>
      <c r="W358" s="1">
        <f t="shared" si="83"/>
        <v>0</v>
      </c>
      <c r="X358" s="1">
        <f t="shared" si="84"/>
        <v>0</v>
      </c>
      <c r="Y358" s="1">
        <f t="shared" si="85"/>
        <v>0</v>
      </c>
      <c r="Z358" s="1">
        <f t="shared" si="76"/>
        <v>0</v>
      </c>
      <c r="AA358" s="1">
        <f t="shared" si="72"/>
        <v>0</v>
      </c>
      <c r="AB358" s="1">
        <f t="shared" si="73"/>
        <v>0</v>
      </c>
      <c r="AC358" s="1">
        <f t="shared" si="74"/>
        <v>8.164512288907852E-5</v>
      </c>
      <c r="AD358" s="1" t="str">
        <f t="shared" si="77"/>
        <v>CAEN PNEUS SERVICE - POINT S</v>
      </c>
      <c r="AE358" s="1" t="str">
        <f t="shared" si="78"/>
        <v>3456</v>
      </c>
      <c r="AF358" s="3">
        <f>Q358*Feuil2!$B$3</f>
        <v>0</v>
      </c>
      <c r="AG358" s="3">
        <f>R358*Feuil2!$C$3</f>
        <v>0</v>
      </c>
      <c r="AH358" s="3">
        <f>S358*Feuil2!$D$3</f>
        <v>0</v>
      </c>
      <c r="AI358" s="3">
        <f>T358*Feuil2!$E$2</f>
        <v>16.556760229691204</v>
      </c>
      <c r="AJ358" s="3">
        <f>U358*Feuil2!$F$3</f>
        <v>0</v>
      </c>
      <c r="AK358" s="3">
        <f>V358*Feuil2!$G$3</f>
        <v>26.972664278780169</v>
      </c>
      <c r="AL358" s="3">
        <f>W358*Feuil2!$H$3</f>
        <v>0</v>
      </c>
      <c r="AM358" s="3">
        <f>X358*Feuil2!$I$2</f>
        <v>0</v>
      </c>
      <c r="AN358" s="3">
        <f>Y358*Feuil2!$J$3</f>
        <v>0</v>
      </c>
      <c r="AO358" s="3">
        <f>Z358*Feuil2!$K$3</f>
        <v>0</v>
      </c>
      <c r="AP358" s="3">
        <f>AA358*Feuil2!$L$3</f>
        <v>0</v>
      </c>
      <c r="AQ358" s="3">
        <f>AB358*Feuil2!$M$3</f>
        <v>0</v>
      </c>
      <c r="AR358" s="3">
        <f>AC358*Feuil2!$N$3</f>
        <v>34.183709111595718</v>
      </c>
    </row>
    <row r="359" spans="1:44" x14ac:dyDescent="0.35">
      <c r="A359" t="s">
        <v>706</v>
      </c>
      <c r="B359" t="s">
        <v>707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31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31</v>
      </c>
      <c r="Q359" s="1">
        <f>C359/$C$434</f>
        <v>0</v>
      </c>
      <c r="R359" s="1">
        <f t="shared" si="75"/>
        <v>0</v>
      </c>
      <c r="S359" s="1">
        <f t="shared" si="79"/>
        <v>0</v>
      </c>
      <c r="T359" s="1">
        <f t="shared" si="80"/>
        <v>0</v>
      </c>
      <c r="U359" s="1">
        <f t="shared" si="81"/>
        <v>0</v>
      </c>
      <c r="V359" s="1">
        <f t="shared" si="82"/>
        <v>1.0377263749874468E-3</v>
      </c>
      <c r="W359" s="1">
        <f t="shared" si="83"/>
        <v>0</v>
      </c>
      <c r="X359" s="1">
        <f t="shared" si="84"/>
        <v>0</v>
      </c>
      <c r="Y359" s="1">
        <f t="shared" si="85"/>
        <v>0</v>
      </c>
      <c r="Z359" s="1">
        <f t="shared" si="76"/>
        <v>0</v>
      </c>
      <c r="AA359" s="1">
        <f t="shared" si="72"/>
        <v>0</v>
      </c>
      <c r="AB359" s="1">
        <f t="shared" si="73"/>
        <v>0</v>
      </c>
      <c r="AC359" s="1">
        <f t="shared" si="74"/>
        <v>8.164512288907852E-5</v>
      </c>
      <c r="AD359" s="1" t="str">
        <f t="shared" si="77"/>
        <v>GARAGE SAINT PIERRE</v>
      </c>
      <c r="AE359" s="1" t="str">
        <f t="shared" si="78"/>
        <v>5490</v>
      </c>
      <c r="AF359" s="3">
        <f>Q359*Feuil2!$B$3</f>
        <v>0</v>
      </c>
      <c r="AG359" s="3">
        <f>R359*Feuil2!$C$3</f>
        <v>0</v>
      </c>
      <c r="AH359" s="3">
        <f>S359*Feuil2!$D$3</f>
        <v>0</v>
      </c>
      <c r="AI359" s="3">
        <f>T359*Feuil2!$E$2</f>
        <v>0</v>
      </c>
      <c r="AJ359" s="3">
        <f>U359*Feuil2!$F$3</f>
        <v>0</v>
      </c>
      <c r="AK359" s="3">
        <f>V359*Feuil2!$G$3</f>
        <v>41.807629632109261</v>
      </c>
      <c r="AL359" s="3">
        <f>W359*Feuil2!$H$3</f>
        <v>0</v>
      </c>
      <c r="AM359" s="3">
        <f>X359*Feuil2!$I$2</f>
        <v>0</v>
      </c>
      <c r="AN359" s="3">
        <f>Y359*Feuil2!$J$3</f>
        <v>0</v>
      </c>
      <c r="AO359" s="3">
        <f>Z359*Feuil2!$K$3</f>
        <v>0</v>
      </c>
      <c r="AP359" s="3">
        <f>AA359*Feuil2!$L$3</f>
        <v>0</v>
      </c>
      <c r="AQ359" s="3">
        <f>AB359*Feuil2!$M$3</f>
        <v>0</v>
      </c>
      <c r="AR359" s="3">
        <f>AC359*Feuil2!$N$3</f>
        <v>34.183709111595718</v>
      </c>
    </row>
    <row r="360" spans="1:44" x14ac:dyDescent="0.35">
      <c r="A360" t="s">
        <v>708</v>
      </c>
      <c r="B360" t="s">
        <v>709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31</v>
      </c>
      <c r="M360">
        <v>0</v>
      </c>
      <c r="N360">
        <v>0</v>
      </c>
      <c r="O360">
        <v>31</v>
      </c>
      <c r="Q360" s="1">
        <f>C360/$C$434</f>
        <v>0</v>
      </c>
      <c r="R360" s="1">
        <f t="shared" si="75"/>
        <v>0</v>
      </c>
      <c r="S360" s="1">
        <f t="shared" si="79"/>
        <v>0</v>
      </c>
      <c r="T360" s="1">
        <f t="shared" si="80"/>
        <v>0</v>
      </c>
      <c r="U360" s="1">
        <f t="shared" si="81"/>
        <v>0</v>
      </c>
      <c r="V360" s="1">
        <f t="shared" si="82"/>
        <v>0</v>
      </c>
      <c r="W360" s="1">
        <f t="shared" si="83"/>
        <v>0</v>
      </c>
      <c r="X360" s="1">
        <f t="shared" si="84"/>
        <v>0</v>
      </c>
      <c r="Y360" s="1">
        <f t="shared" si="85"/>
        <v>0</v>
      </c>
      <c r="Z360" s="1">
        <f t="shared" si="76"/>
        <v>7.8664230613073485E-4</v>
      </c>
      <c r="AA360" s="1">
        <f t="shared" si="72"/>
        <v>0</v>
      </c>
      <c r="AB360" s="1">
        <f t="shared" si="73"/>
        <v>0</v>
      </c>
      <c r="AC360" s="1">
        <f t="shared" si="74"/>
        <v>8.164512288907852E-5</v>
      </c>
      <c r="AD360" s="1" t="str">
        <f t="shared" si="77"/>
        <v>MARY RECYCLAGE</v>
      </c>
      <c r="AE360" s="1" t="str">
        <f t="shared" si="78"/>
        <v>5000</v>
      </c>
      <c r="AF360" s="3">
        <f>Q360*Feuil2!$B$3</f>
        <v>0</v>
      </c>
      <c r="AG360" s="3">
        <f>R360*Feuil2!$C$3</f>
        <v>0</v>
      </c>
      <c r="AH360" s="3">
        <f>S360*Feuil2!$D$3</f>
        <v>0</v>
      </c>
      <c r="AI360" s="3">
        <f>T360*Feuil2!$E$2</f>
        <v>0</v>
      </c>
      <c r="AJ360" s="3">
        <f>U360*Feuil2!$F$3</f>
        <v>0</v>
      </c>
      <c r="AK360" s="3">
        <f>V360*Feuil2!$G$3</f>
        <v>0</v>
      </c>
      <c r="AL360" s="3">
        <f>W360*Feuil2!$H$3</f>
        <v>0</v>
      </c>
      <c r="AM360" s="3">
        <f>X360*Feuil2!$I$2</f>
        <v>0</v>
      </c>
      <c r="AN360" s="3">
        <f>Y360*Feuil2!$J$3</f>
        <v>0</v>
      </c>
      <c r="AO360" s="3">
        <f>Z360*Feuil2!$K$3</f>
        <v>31.69202496954933</v>
      </c>
      <c r="AP360" s="3">
        <f>AA360*Feuil2!$L$3</f>
        <v>0</v>
      </c>
      <c r="AQ360" s="3">
        <f>AB360*Feuil2!$M$3</f>
        <v>0</v>
      </c>
      <c r="AR360" s="3">
        <f>AC360*Feuil2!$N$3</f>
        <v>34.183709111595718</v>
      </c>
    </row>
    <row r="361" spans="1:44" x14ac:dyDescent="0.35">
      <c r="A361" t="s">
        <v>710</v>
      </c>
      <c r="B361" t="s">
        <v>711</v>
      </c>
      <c r="C361">
        <v>0</v>
      </c>
      <c r="D361">
        <v>0</v>
      </c>
      <c r="E361">
        <v>30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30</v>
      </c>
      <c r="Q361" s="1">
        <f>C361/$C$434</f>
        <v>0</v>
      </c>
      <c r="R361" s="1">
        <f t="shared" si="75"/>
        <v>0</v>
      </c>
      <c r="S361" s="1">
        <f t="shared" si="79"/>
        <v>1.0183645066023967E-3</v>
      </c>
      <c r="T361" s="1">
        <f t="shared" si="80"/>
        <v>0</v>
      </c>
      <c r="U361" s="1">
        <f t="shared" si="81"/>
        <v>0</v>
      </c>
      <c r="V361" s="1">
        <f t="shared" si="82"/>
        <v>0</v>
      </c>
      <c r="W361" s="1">
        <f t="shared" si="83"/>
        <v>0</v>
      </c>
      <c r="X361" s="1">
        <f t="shared" si="84"/>
        <v>0</v>
      </c>
      <c r="Y361" s="1">
        <f t="shared" si="85"/>
        <v>0</v>
      </c>
      <c r="Z361" s="1">
        <f t="shared" si="76"/>
        <v>0</v>
      </c>
      <c r="AA361" s="1">
        <f t="shared" si="72"/>
        <v>0</v>
      </c>
      <c r="AB361" s="1">
        <f t="shared" si="73"/>
        <v>0</v>
      </c>
      <c r="AC361" s="1">
        <f t="shared" si="74"/>
        <v>7.9011409247495341E-5</v>
      </c>
      <c r="AD361" s="1" t="str">
        <f t="shared" si="77"/>
        <v>ST PAIR</v>
      </c>
      <c r="AE361" s="1" t="str">
        <f t="shared" si="78"/>
        <v>3364</v>
      </c>
      <c r="AF361" s="3">
        <f>Q361*Feuil2!$B$3</f>
        <v>0</v>
      </c>
      <c r="AG361" s="3">
        <f>R361*Feuil2!$C$3</f>
        <v>0</v>
      </c>
      <c r="AH361" s="3">
        <f>S361*Feuil2!$D$3</f>
        <v>40.019484707559663</v>
      </c>
      <c r="AI361" s="3">
        <f>T361*Feuil2!$E$2</f>
        <v>0</v>
      </c>
      <c r="AJ361" s="3">
        <f>U361*Feuil2!$F$3</f>
        <v>0</v>
      </c>
      <c r="AK361" s="3">
        <f>V361*Feuil2!$G$3</f>
        <v>0</v>
      </c>
      <c r="AL361" s="3">
        <f>W361*Feuil2!$H$3</f>
        <v>0</v>
      </c>
      <c r="AM361" s="3">
        <f>X361*Feuil2!$I$2</f>
        <v>0</v>
      </c>
      <c r="AN361" s="3">
        <f>Y361*Feuil2!$J$3</f>
        <v>0</v>
      </c>
      <c r="AO361" s="3">
        <f>Z361*Feuil2!$K$3</f>
        <v>0</v>
      </c>
      <c r="AP361" s="3">
        <f>AA361*Feuil2!$L$3</f>
        <v>0</v>
      </c>
      <c r="AQ361" s="3">
        <f>AB361*Feuil2!$M$3</f>
        <v>0</v>
      </c>
      <c r="AR361" s="3">
        <f>AC361*Feuil2!$N$3</f>
        <v>33.081008817673279</v>
      </c>
    </row>
    <row r="362" spans="1:44" x14ac:dyDescent="0.35">
      <c r="A362" t="s">
        <v>712</v>
      </c>
      <c r="B362" t="s">
        <v>713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29</v>
      </c>
      <c r="K362">
        <v>0</v>
      </c>
      <c r="L362">
        <v>0</v>
      </c>
      <c r="M362">
        <v>0</v>
      </c>
      <c r="N362">
        <v>0</v>
      </c>
      <c r="O362">
        <v>29</v>
      </c>
      <c r="Q362" s="1">
        <f>C362/$C$434</f>
        <v>0</v>
      </c>
      <c r="R362" s="1">
        <f t="shared" si="75"/>
        <v>0</v>
      </c>
      <c r="S362" s="1">
        <f t="shared" si="79"/>
        <v>0</v>
      </c>
      <c r="T362" s="1">
        <f t="shared" si="80"/>
        <v>0</v>
      </c>
      <c r="U362" s="1">
        <f t="shared" si="81"/>
        <v>0</v>
      </c>
      <c r="V362" s="1">
        <f t="shared" si="82"/>
        <v>0</v>
      </c>
      <c r="W362" s="1">
        <f t="shared" si="83"/>
        <v>0</v>
      </c>
      <c r="X362" s="1">
        <f t="shared" si="84"/>
        <v>1.5493108238059622E-3</v>
      </c>
      <c r="Y362" s="1">
        <f t="shared" si="85"/>
        <v>0</v>
      </c>
      <c r="Z362" s="1">
        <f t="shared" si="76"/>
        <v>0</v>
      </c>
      <c r="AA362" s="1">
        <f t="shared" si="72"/>
        <v>0</v>
      </c>
      <c r="AB362" s="1">
        <f t="shared" si="73"/>
        <v>0</v>
      </c>
      <c r="AC362" s="1">
        <f t="shared" si="74"/>
        <v>7.6377695605912163E-5</v>
      </c>
      <c r="AD362" s="1" t="str">
        <f t="shared" si="77"/>
        <v>ARMAND TRANSPORT REMORQUAGE</v>
      </c>
      <c r="AE362" s="1" t="str">
        <f t="shared" si="78"/>
        <v>3584</v>
      </c>
      <c r="AF362" s="3">
        <f>Q362*Feuil2!$B$3</f>
        <v>0</v>
      </c>
      <c r="AG362" s="3">
        <f>R362*Feuil2!$C$3</f>
        <v>0</v>
      </c>
      <c r="AH362" s="3">
        <f>S362*Feuil2!$D$3</f>
        <v>0</v>
      </c>
      <c r="AI362" s="3">
        <f>T362*Feuil2!$E$2</f>
        <v>0</v>
      </c>
      <c r="AJ362" s="3">
        <f>U362*Feuil2!$F$3</f>
        <v>0</v>
      </c>
      <c r="AK362" s="3">
        <f>V362*Feuil2!$G$3</f>
        <v>0</v>
      </c>
      <c r="AL362" s="3">
        <f>W362*Feuil2!$H$3</f>
        <v>0</v>
      </c>
      <c r="AM362" s="3">
        <f>X362*Feuil2!$I$2</f>
        <v>33.096377818142962</v>
      </c>
      <c r="AN362" s="3">
        <f>Y362*Feuil2!$J$3</f>
        <v>0</v>
      </c>
      <c r="AO362" s="3">
        <f>Z362*Feuil2!$K$3</f>
        <v>0</v>
      </c>
      <c r="AP362" s="3">
        <f>AA362*Feuil2!$L$3</f>
        <v>0</v>
      </c>
      <c r="AQ362" s="3">
        <f>AB362*Feuil2!$M$3</f>
        <v>0</v>
      </c>
      <c r="AR362" s="3">
        <f>AC362*Feuil2!$N$3</f>
        <v>31.978308523750833</v>
      </c>
    </row>
    <row r="363" spans="1:44" x14ac:dyDescent="0.35">
      <c r="A363" t="s">
        <v>714</v>
      </c>
      <c r="B363" t="s">
        <v>715</v>
      </c>
      <c r="C363">
        <v>0</v>
      </c>
      <c r="D363">
        <v>0</v>
      </c>
      <c r="E363">
        <v>0</v>
      </c>
      <c r="F363">
        <v>28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28</v>
      </c>
      <c r="Q363" s="1">
        <f>C363/$C$434</f>
        <v>0</v>
      </c>
      <c r="R363" s="1">
        <f t="shared" si="75"/>
        <v>0</v>
      </c>
      <c r="S363" s="1">
        <f t="shared" si="79"/>
        <v>0</v>
      </c>
      <c r="T363" s="1">
        <f t="shared" si="80"/>
        <v>1.1243625266032205E-3</v>
      </c>
      <c r="U363" s="1">
        <f t="shared" si="81"/>
        <v>0</v>
      </c>
      <c r="V363" s="1">
        <f t="shared" si="82"/>
        <v>0</v>
      </c>
      <c r="W363" s="1">
        <f t="shared" si="83"/>
        <v>0</v>
      </c>
      <c r="X363" s="1">
        <f t="shared" si="84"/>
        <v>0</v>
      </c>
      <c r="Y363" s="1">
        <f t="shared" si="85"/>
        <v>0</v>
      </c>
      <c r="Z363" s="1">
        <f t="shared" si="76"/>
        <v>0</v>
      </c>
      <c r="AA363" s="1">
        <f t="shared" si="72"/>
        <v>0</v>
      </c>
      <c r="AB363" s="1">
        <f t="shared" si="73"/>
        <v>0</v>
      </c>
      <c r="AC363" s="1">
        <f t="shared" si="74"/>
        <v>7.3743981964328984E-5</v>
      </c>
      <c r="AD363" s="1" t="str">
        <f t="shared" si="77"/>
        <v>HASTINGS</v>
      </c>
      <c r="AE363" s="1" t="str">
        <f t="shared" si="78"/>
        <v>3242</v>
      </c>
      <c r="AF363" s="3">
        <f>Q363*Feuil2!$B$3</f>
        <v>0</v>
      </c>
      <c r="AG363" s="3">
        <f>R363*Feuil2!$C$3</f>
        <v>0</v>
      </c>
      <c r="AH363" s="3">
        <f>S363*Feuil2!$D$3</f>
        <v>0</v>
      </c>
      <c r="AI363" s="3">
        <f>T363*Feuil2!$E$2</f>
        <v>42.144480584668514</v>
      </c>
      <c r="AJ363" s="3">
        <f>U363*Feuil2!$F$3</f>
        <v>0</v>
      </c>
      <c r="AK363" s="3">
        <f>V363*Feuil2!$G$3</f>
        <v>0</v>
      </c>
      <c r="AL363" s="3">
        <f>W363*Feuil2!$H$3</f>
        <v>0</v>
      </c>
      <c r="AM363" s="3">
        <f>X363*Feuil2!$I$2</f>
        <v>0</v>
      </c>
      <c r="AN363" s="3">
        <f>Y363*Feuil2!$J$3</f>
        <v>0</v>
      </c>
      <c r="AO363" s="3">
        <f>Z363*Feuil2!$K$3</f>
        <v>0</v>
      </c>
      <c r="AP363" s="3">
        <f>AA363*Feuil2!$L$3</f>
        <v>0</v>
      </c>
      <c r="AQ363" s="3">
        <f>AB363*Feuil2!$M$3</f>
        <v>0</v>
      </c>
      <c r="AR363" s="3">
        <f>AC363*Feuil2!$N$3</f>
        <v>30.875608229828391</v>
      </c>
    </row>
    <row r="364" spans="1:44" x14ac:dyDescent="0.35">
      <c r="A364" t="s">
        <v>716</v>
      </c>
      <c r="B364" t="s">
        <v>717</v>
      </c>
      <c r="C364">
        <v>13</v>
      </c>
      <c r="D364">
        <v>14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27</v>
      </c>
      <c r="Q364" s="1">
        <f>C364/$C$434</f>
        <v>3.2091633957885904E-4</v>
      </c>
      <c r="R364" s="1">
        <f t="shared" si="75"/>
        <v>5.9016946294578867E-4</v>
      </c>
      <c r="S364" s="1">
        <f t="shared" si="79"/>
        <v>0</v>
      </c>
      <c r="T364" s="1">
        <f t="shared" si="80"/>
        <v>0</v>
      </c>
      <c r="U364" s="1">
        <f t="shared" si="81"/>
        <v>0</v>
      </c>
      <c r="V364" s="1">
        <f t="shared" si="82"/>
        <v>0</v>
      </c>
      <c r="W364" s="1">
        <f t="shared" si="83"/>
        <v>0</v>
      </c>
      <c r="X364" s="1">
        <f t="shared" si="84"/>
        <v>0</v>
      </c>
      <c r="Y364" s="1">
        <f t="shared" si="85"/>
        <v>0</v>
      </c>
      <c r="Z364" s="1">
        <f t="shared" si="76"/>
        <v>0</v>
      </c>
      <c r="AA364" s="1">
        <f t="shared" si="72"/>
        <v>0</v>
      </c>
      <c r="AB364" s="1">
        <f t="shared" si="73"/>
        <v>0</v>
      </c>
      <c r="AC364" s="1">
        <f t="shared" si="74"/>
        <v>7.1110268322745806E-5</v>
      </c>
      <c r="AD364" s="1" t="str">
        <f t="shared" si="77"/>
        <v>GUILLOT AUTOMOBILES SARL</v>
      </c>
      <c r="AE364" s="1" t="str">
        <f t="shared" si="78"/>
        <v>23326</v>
      </c>
      <c r="AF364" s="3">
        <f>Q364*Feuil2!$B$3</f>
        <v>11.352389839294972</v>
      </c>
      <c r="AG364" s="3">
        <f>R364*Feuil2!$C$3</f>
        <v>20.877197538150238</v>
      </c>
      <c r="AH364" s="3">
        <f>S364*Feuil2!$D$3</f>
        <v>0</v>
      </c>
      <c r="AI364" s="3">
        <f>T364*Feuil2!$E$2</f>
        <v>0</v>
      </c>
      <c r="AJ364" s="3">
        <f>U364*Feuil2!$F$3</f>
        <v>0</v>
      </c>
      <c r="AK364" s="3">
        <f>V364*Feuil2!$G$3</f>
        <v>0</v>
      </c>
      <c r="AL364" s="3">
        <f>W364*Feuil2!$H$3</f>
        <v>0</v>
      </c>
      <c r="AM364" s="3">
        <f>X364*Feuil2!$I$2</f>
        <v>0</v>
      </c>
      <c r="AN364" s="3">
        <f>Y364*Feuil2!$J$3</f>
        <v>0</v>
      </c>
      <c r="AO364" s="3">
        <f>Z364*Feuil2!$K$3</f>
        <v>0</v>
      </c>
      <c r="AP364" s="3">
        <f>AA364*Feuil2!$L$3</f>
        <v>0</v>
      </c>
      <c r="AQ364" s="3">
        <f>AB364*Feuil2!$M$3</f>
        <v>0</v>
      </c>
      <c r="AR364" s="3">
        <f>AC364*Feuil2!$N$3</f>
        <v>29.772907935905948</v>
      </c>
    </row>
    <row r="365" spans="1:44" x14ac:dyDescent="0.35">
      <c r="A365" t="s">
        <v>718</v>
      </c>
      <c r="B365" t="s">
        <v>719</v>
      </c>
      <c r="C365">
        <v>0</v>
      </c>
      <c r="D365">
        <v>0</v>
      </c>
      <c r="E365">
        <v>0</v>
      </c>
      <c r="F365">
        <v>27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27</v>
      </c>
      <c r="Q365" s="1">
        <f>C365/$C$434</f>
        <v>0</v>
      </c>
      <c r="R365" s="1">
        <f t="shared" si="75"/>
        <v>0</v>
      </c>
      <c r="S365" s="1">
        <f t="shared" si="79"/>
        <v>0</v>
      </c>
      <c r="T365" s="1">
        <f t="shared" si="80"/>
        <v>1.0842067220816769E-3</v>
      </c>
      <c r="U365" s="1">
        <f t="shared" si="81"/>
        <v>0</v>
      </c>
      <c r="V365" s="1">
        <f t="shared" si="82"/>
        <v>0</v>
      </c>
      <c r="W365" s="1">
        <f t="shared" si="83"/>
        <v>0</v>
      </c>
      <c r="X365" s="1">
        <f t="shared" si="84"/>
        <v>0</v>
      </c>
      <c r="Y365" s="1">
        <f t="shared" si="85"/>
        <v>0</v>
      </c>
      <c r="Z365" s="1">
        <f t="shared" si="76"/>
        <v>0</v>
      </c>
      <c r="AA365" s="1">
        <f t="shared" si="72"/>
        <v>0</v>
      </c>
      <c r="AB365" s="1">
        <f t="shared" si="73"/>
        <v>0</v>
      </c>
      <c r="AC365" s="1">
        <f t="shared" si="74"/>
        <v>7.1110268322745806E-5</v>
      </c>
      <c r="AD365" s="1" t="str">
        <f t="shared" si="77"/>
        <v>mme lepopian</v>
      </c>
      <c r="AE365" s="1" t="str">
        <f t="shared" si="78"/>
        <v>9100</v>
      </c>
      <c r="AF365" s="3">
        <f>Q365*Feuil2!$B$3</f>
        <v>0</v>
      </c>
      <c r="AG365" s="3">
        <f>R365*Feuil2!$C$3</f>
        <v>0</v>
      </c>
      <c r="AH365" s="3">
        <f>S365*Feuil2!$D$3</f>
        <v>0</v>
      </c>
      <c r="AI365" s="3">
        <f>T365*Feuil2!$E$2</f>
        <v>40.639320563787493</v>
      </c>
      <c r="AJ365" s="3">
        <f>U365*Feuil2!$F$3</f>
        <v>0</v>
      </c>
      <c r="AK365" s="3">
        <f>V365*Feuil2!$G$3</f>
        <v>0</v>
      </c>
      <c r="AL365" s="3">
        <f>W365*Feuil2!$H$3</f>
        <v>0</v>
      </c>
      <c r="AM365" s="3">
        <f>X365*Feuil2!$I$2</f>
        <v>0</v>
      </c>
      <c r="AN365" s="3">
        <f>Y365*Feuil2!$J$3</f>
        <v>0</v>
      </c>
      <c r="AO365" s="3">
        <f>Z365*Feuil2!$K$3</f>
        <v>0</v>
      </c>
      <c r="AP365" s="3">
        <f>AA365*Feuil2!$L$3</f>
        <v>0</v>
      </c>
      <c r="AQ365" s="3">
        <f>AB365*Feuil2!$M$3</f>
        <v>0</v>
      </c>
      <c r="AR365" s="3">
        <f>AC365*Feuil2!$N$3</f>
        <v>29.772907935905948</v>
      </c>
    </row>
    <row r="366" spans="1:44" x14ac:dyDescent="0.35">
      <c r="A366" t="s">
        <v>720</v>
      </c>
      <c r="B366" t="s">
        <v>721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26</v>
      </c>
      <c r="N366">
        <v>0</v>
      </c>
      <c r="O366">
        <v>26</v>
      </c>
      <c r="Q366" s="1">
        <f>C366/$C$434</f>
        <v>0</v>
      </c>
      <c r="R366" s="1">
        <f t="shared" si="75"/>
        <v>0</v>
      </c>
      <c r="S366" s="1">
        <f t="shared" si="79"/>
        <v>0</v>
      </c>
      <c r="T366" s="1">
        <f t="shared" si="80"/>
        <v>0</v>
      </c>
      <c r="U366" s="1">
        <f t="shared" si="81"/>
        <v>0</v>
      </c>
      <c r="V366" s="1">
        <f t="shared" si="82"/>
        <v>0</v>
      </c>
      <c r="W366" s="1">
        <f t="shared" si="83"/>
        <v>0</v>
      </c>
      <c r="X366" s="1">
        <f t="shared" si="84"/>
        <v>0</v>
      </c>
      <c r="Y366" s="1">
        <f t="shared" si="85"/>
        <v>0</v>
      </c>
      <c r="Z366" s="1">
        <f t="shared" si="76"/>
        <v>0</v>
      </c>
      <c r="AA366" s="1">
        <f t="shared" si="72"/>
        <v>6.5092757178980044E-4</v>
      </c>
      <c r="AB366" s="1">
        <f t="shared" si="73"/>
        <v>0</v>
      </c>
      <c r="AC366" s="1">
        <f t="shared" si="74"/>
        <v>6.8476554681162627E-5</v>
      </c>
      <c r="AD366" s="1" t="str">
        <f t="shared" si="77"/>
        <v>DICOMA CONCESSION CITROEN COUT</v>
      </c>
      <c r="AE366" s="1" t="str">
        <f t="shared" si="78"/>
        <v>2108</v>
      </c>
      <c r="AF366" s="3">
        <f>Q366*Feuil2!$B$3</f>
        <v>0</v>
      </c>
      <c r="AG366" s="3">
        <f>R366*Feuil2!$C$3</f>
        <v>0</v>
      </c>
      <c r="AH366" s="3">
        <f>S366*Feuil2!$D$3</f>
        <v>0</v>
      </c>
      <c r="AI366" s="3">
        <f>T366*Feuil2!$E$2</f>
        <v>0</v>
      </c>
      <c r="AJ366" s="3">
        <f>U366*Feuil2!$F$3</f>
        <v>0</v>
      </c>
      <c r="AK366" s="3">
        <f>V366*Feuil2!$G$3</f>
        <v>0</v>
      </c>
      <c r="AL366" s="3">
        <f>W366*Feuil2!$H$3</f>
        <v>0</v>
      </c>
      <c r="AM366" s="3">
        <f>X366*Feuil2!$I$2</f>
        <v>0</v>
      </c>
      <c r="AN366" s="3">
        <f>Y366*Feuil2!$J$3</f>
        <v>0</v>
      </c>
      <c r="AO366" s="3">
        <f>Z366*Feuil2!$K$3</f>
        <v>0</v>
      </c>
      <c r="AP366" s="3">
        <f>AA366*Feuil2!$L$3</f>
        <v>23.666086172796234</v>
      </c>
      <c r="AQ366" s="3">
        <f>AB366*Feuil2!$M$3</f>
        <v>0</v>
      </c>
      <c r="AR366" s="3">
        <f>AC366*Feuil2!$N$3</f>
        <v>28.670207641983506</v>
      </c>
    </row>
    <row r="367" spans="1:44" x14ac:dyDescent="0.35">
      <c r="A367" t="s">
        <v>722</v>
      </c>
      <c r="B367" t="s">
        <v>723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24</v>
      </c>
      <c r="M367">
        <v>0</v>
      </c>
      <c r="N367">
        <v>0</v>
      </c>
      <c r="O367">
        <v>24</v>
      </c>
      <c r="Q367" s="1">
        <f>C367/$C$434</f>
        <v>0</v>
      </c>
      <c r="R367" s="1">
        <f t="shared" si="75"/>
        <v>0</v>
      </c>
      <c r="S367" s="1">
        <f t="shared" si="79"/>
        <v>0</v>
      </c>
      <c r="T367" s="1">
        <f t="shared" si="80"/>
        <v>0</v>
      </c>
      <c r="U367" s="1">
        <f t="shared" si="81"/>
        <v>0</v>
      </c>
      <c r="V367" s="1">
        <f t="shared" si="82"/>
        <v>0</v>
      </c>
      <c r="W367" s="1">
        <f t="shared" si="83"/>
        <v>0</v>
      </c>
      <c r="X367" s="1">
        <f t="shared" si="84"/>
        <v>0</v>
      </c>
      <c r="Y367" s="1">
        <f t="shared" si="85"/>
        <v>0</v>
      </c>
      <c r="Z367" s="1">
        <f t="shared" si="76"/>
        <v>6.0901339829476245E-4</v>
      </c>
      <c r="AA367" s="1">
        <f t="shared" si="72"/>
        <v>0</v>
      </c>
      <c r="AB367" s="1">
        <f t="shared" si="73"/>
        <v>0</v>
      </c>
      <c r="AC367" s="1">
        <f t="shared" si="74"/>
        <v>6.320912739799627E-5</v>
      </c>
      <c r="AD367" s="1" t="str">
        <f t="shared" si="77"/>
        <v>BLAVETTE</v>
      </c>
      <c r="AE367" s="1" t="str">
        <f t="shared" si="78"/>
        <v>3737</v>
      </c>
      <c r="AF367" s="3">
        <f>Q367*Feuil2!$B$3</f>
        <v>0</v>
      </c>
      <c r="AG367" s="3">
        <f>R367*Feuil2!$C$3</f>
        <v>0</v>
      </c>
      <c r="AH367" s="3">
        <f>S367*Feuil2!$D$3</f>
        <v>0</v>
      </c>
      <c r="AI367" s="3">
        <f>T367*Feuil2!$E$2</f>
        <v>0</v>
      </c>
      <c r="AJ367" s="3">
        <f>U367*Feuil2!$F$3</f>
        <v>0</v>
      </c>
      <c r="AK367" s="3">
        <f>V367*Feuil2!$G$3</f>
        <v>0</v>
      </c>
      <c r="AL367" s="3">
        <f>W367*Feuil2!$H$3</f>
        <v>0</v>
      </c>
      <c r="AM367" s="3">
        <f>X367*Feuil2!$I$2</f>
        <v>0</v>
      </c>
      <c r="AN367" s="3">
        <f>Y367*Feuil2!$J$3</f>
        <v>0</v>
      </c>
      <c r="AO367" s="3">
        <f>Z367*Feuil2!$K$3</f>
        <v>24.535761266747869</v>
      </c>
      <c r="AP367" s="3">
        <f>AA367*Feuil2!$L$3</f>
        <v>0</v>
      </c>
      <c r="AQ367" s="3">
        <f>AB367*Feuil2!$M$3</f>
        <v>0</v>
      </c>
      <c r="AR367" s="3">
        <f>AC367*Feuil2!$N$3</f>
        <v>26.464807054138621</v>
      </c>
    </row>
    <row r="368" spans="1:44" x14ac:dyDescent="0.35">
      <c r="A368" t="s">
        <v>724</v>
      </c>
      <c r="B368" t="s">
        <v>725</v>
      </c>
      <c r="C368">
        <v>0</v>
      </c>
      <c r="D368">
        <v>13</v>
      </c>
      <c r="E368">
        <v>0</v>
      </c>
      <c r="F368">
        <v>0</v>
      </c>
      <c r="G368">
        <v>11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24</v>
      </c>
      <c r="Q368" s="1">
        <f>C368/$C$434</f>
        <v>0</v>
      </c>
      <c r="R368" s="1">
        <f t="shared" si="75"/>
        <v>5.4801450130680378E-4</v>
      </c>
      <c r="S368" s="1">
        <f t="shared" si="79"/>
        <v>0</v>
      </c>
      <c r="T368" s="1">
        <f t="shared" si="80"/>
        <v>0</v>
      </c>
      <c r="U368" s="1">
        <f t="shared" si="81"/>
        <v>5.2435885213080369E-4</v>
      </c>
      <c r="V368" s="1">
        <f t="shared" si="82"/>
        <v>0</v>
      </c>
      <c r="W368" s="1">
        <f t="shared" si="83"/>
        <v>0</v>
      </c>
      <c r="X368" s="1">
        <f t="shared" si="84"/>
        <v>0</v>
      </c>
      <c r="Y368" s="1">
        <f t="shared" si="85"/>
        <v>0</v>
      </c>
      <c r="Z368" s="1">
        <f t="shared" si="76"/>
        <v>0</v>
      </c>
      <c r="AA368" s="1">
        <f t="shared" si="72"/>
        <v>0</v>
      </c>
      <c r="AB368" s="1">
        <f t="shared" si="73"/>
        <v>0</v>
      </c>
      <c r="AC368" s="1">
        <f t="shared" si="74"/>
        <v>6.320912739799627E-5</v>
      </c>
      <c r="AD368" s="1" t="str">
        <f t="shared" si="77"/>
        <v>DS AUTOS</v>
      </c>
      <c r="AE368" s="1" t="str">
        <f t="shared" si="78"/>
        <v>3606</v>
      </c>
      <c r="AF368" s="3">
        <f>Q368*Feuil2!$B$3</f>
        <v>0</v>
      </c>
      <c r="AG368" s="3">
        <f>R368*Feuil2!$C$3</f>
        <v>19.385969142568079</v>
      </c>
      <c r="AH368" s="3">
        <f>S368*Feuil2!$D$3</f>
        <v>0</v>
      </c>
      <c r="AI368" s="3">
        <f>T368*Feuil2!$E$2</f>
        <v>0</v>
      </c>
      <c r="AJ368" s="3">
        <f>U368*Feuil2!$F$3</f>
        <v>13.396529697778625</v>
      </c>
      <c r="AK368" s="3">
        <f>V368*Feuil2!$G$3</f>
        <v>0</v>
      </c>
      <c r="AL368" s="3">
        <f>W368*Feuil2!$H$3</f>
        <v>0</v>
      </c>
      <c r="AM368" s="3">
        <f>X368*Feuil2!$I$2</f>
        <v>0</v>
      </c>
      <c r="AN368" s="3">
        <f>Y368*Feuil2!$J$3</f>
        <v>0</v>
      </c>
      <c r="AO368" s="3">
        <f>Z368*Feuil2!$K$3</f>
        <v>0</v>
      </c>
      <c r="AP368" s="3">
        <f>AA368*Feuil2!$L$3</f>
        <v>0</v>
      </c>
      <c r="AQ368" s="3">
        <f>AB368*Feuil2!$M$3</f>
        <v>0</v>
      </c>
      <c r="AR368" s="3">
        <f>AC368*Feuil2!$N$3</f>
        <v>26.464807054138621</v>
      </c>
    </row>
    <row r="369" spans="1:44" x14ac:dyDescent="0.35">
      <c r="A369" t="s">
        <v>726</v>
      </c>
      <c r="B369" t="s">
        <v>727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24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24</v>
      </c>
      <c r="Q369" s="1">
        <f>C369/$C$434</f>
        <v>0</v>
      </c>
      <c r="R369" s="1">
        <f t="shared" si="75"/>
        <v>0</v>
      </c>
      <c r="S369" s="1">
        <f t="shared" si="79"/>
        <v>0</v>
      </c>
      <c r="T369" s="1">
        <f t="shared" si="80"/>
        <v>0</v>
      </c>
      <c r="U369" s="1">
        <f t="shared" si="81"/>
        <v>0</v>
      </c>
      <c r="V369" s="1">
        <f t="shared" si="82"/>
        <v>0</v>
      </c>
      <c r="W369" s="1">
        <f t="shared" si="83"/>
        <v>5.3741770791347577E-4</v>
      </c>
      <c r="X369" s="1">
        <f t="shared" si="84"/>
        <v>0</v>
      </c>
      <c r="Y369" s="1">
        <f t="shared" si="85"/>
        <v>0</v>
      </c>
      <c r="Z369" s="1">
        <f t="shared" si="76"/>
        <v>0</v>
      </c>
      <c r="AA369" s="1">
        <f t="shared" si="72"/>
        <v>0</v>
      </c>
      <c r="AB369" s="1">
        <f t="shared" si="73"/>
        <v>0</v>
      </c>
      <c r="AC369" s="1">
        <f t="shared" si="74"/>
        <v>6.320912739799627E-5</v>
      </c>
      <c r="AD369" s="1" t="str">
        <f t="shared" si="77"/>
        <v>PARIS NORMANDIE MONDEVILLE</v>
      </c>
      <c r="AE369" s="1" t="str">
        <f t="shared" si="78"/>
        <v>3107</v>
      </c>
      <c r="AF369" s="3">
        <f>Q369*Feuil2!$B$3</f>
        <v>0</v>
      </c>
      <c r="AG369" s="3">
        <f>R369*Feuil2!$C$3</f>
        <v>0</v>
      </c>
      <c r="AH369" s="3">
        <f>S369*Feuil2!$D$3</f>
        <v>0</v>
      </c>
      <c r="AI369" s="3">
        <f>T369*Feuil2!$E$2</f>
        <v>0</v>
      </c>
      <c r="AJ369" s="3">
        <f>U369*Feuil2!$F$3</f>
        <v>0</v>
      </c>
      <c r="AK369" s="3">
        <f>V369*Feuil2!$G$3</f>
        <v>0</v>
      </c>
      <c r="AL369" s="3">
        <f>W369*Feuil2!$H$3</f>
        <v>19.539153567110038</v>
      </c>
      <c r="AM369" s="3">
        <f>X369*Feuil2!$I$2</f>
        <v>0</v>
      </c>
      <c r="AN369" s="3">
        <f>Y369*Feuil2!$J$3</f>
        <v>0</v>
      </c>
      <c r="AO369" s="3">
        <f>Z369*Feuil2!$K$3</f>
        <v>0</v>
      </c>
      <c r="AP369" s="3">
        <f>AA369*Feuil2!$L$3</f>
        <v>0</v>
      </c>
      <c r="AQ369" s="3">
        <f>AB369*Feuil2!$M$3</f>
        <v>0</v>
      </c>
      <c r="AR369" s="3">
        <f>AC369*Feuil2!$N$3</f>
        <v>26.464807054138621</v>
      </c>
    </row>
    <row r="370" spans="1:44" x14ac:dyDescent="0.35">
      <c r="A370" t="s">
        <v>728</v>
      </c>
      <c r="B370" t="s">
        <v>729</v>
      </c>
      <c r="C370">
        <v>0</v>
      </c>
      <c r="D370">
        <v>0</v>
      </c>
      <c r="E370">
        <v>12</v>
      </c>
      <c r="F370">
        <v>0</v>
      </c>
      <c r="G370">
        <v>11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23</v>
      </c>
      <c r="Q370" s="1">
        <f>C370/$C$434</f>
        <v>0</v>
      </c>
      <c r="R370" s="1">
        <f t="shared" si="75"/>
        <v>0</v>
      </c>
      <c r="S370" s="1">
        <f t="shared" si="79"/>
        <v>4.0734580264095862E-4</v>
      </c>
      <c r="T370" s="1">
        <f t="shared" si="80"/>
        <v>0</v>
      </c>
      <c r="U370" s="1">
        <f t="shared" si="81"/>
        <v>5.2435885213080369E-4</v>
      </c>
      <c r="V370" s="1">
        <f t="shared" si="82"/>
        <v>0</v>
      </c>
      <c r="W370" s="1">
        <f t="shared" si="83"/>
        <v>0</v>
      </c>
      <c r="X370" s="1">
        <f t="shared" si="84"/>
        <v>0</v>
      </c>
      <c r="Y370" s="1">
        <f t="shared" si="85"/>
        <v>0</v>
      </c>
      <c r="Z370" s="1">
        <f t="shared" si="76"/>
        <v>0</v>
      </c>
      <c r="AA370" s="1">
        <f t="shared" si="72"/>
        <v>0</v>
      </c>
      <c r="AB370" s="1">
        <f t="shared" si="73"/>
        <v>0</v>
      </c>
      <c r="AC370" s="1">
        <f t="shared" si="74"/>
        <v>6.0575413756413092E-5</v>
      </c>
      <c r="AD370" s="1" t="str">
        <f t="shared" si="77"/>
        <v>LV AUTOS 27</v>
      </c>
      <c r="AE370" s="1" t="str">
        <f t="shared" si="78"/>
        <v>66620</v>
      </c>
      <c r="AF370" s="3">
        <f>Q370*Feuil2!$B$3</f>
        <v>0</v>
      </c>
      <c r="AG370" s="3">
        <f>R370*Feuil2!$C$3</f>
        <v>0</v>
      </c>
      <c r="AH370" s="3">
        <f>S370*Feuil2!$D$3</f>
        <v>16.007793883023865</v>
      </c>
      <c r="AI370" s="3">
        <f>T370*Feuil2!$E$2</f>
        <v>0</v>
      </c>
      <c r="AJ370" s="3">
        <f>U370*Feuil2!$F$3</f>
        <v>13.396529697778625</v>
      </c>
      <c r="AK370" s="3">
        <f>V370*Feuil2!$G$3</f>
        <v>0</v>
      </c>
      <c r="AL370" s="3">
        <f>W370*Feuil2!$H$3</f>
        <v>0</v>
      </c>
      <c r="AM370" s="3">
        <f>X370*Feuil2!$I$2</f>
        <v>0</v>
      </c>
      <c r="AN370" s="3">
        <f>Y370*Feuil2!$J$3</f>
        <v>0</v>
      </c>
      <c r="AO370" s="3">
        <f>Z370*Feuil2!$K$3</f>
        <v>0</v>
      </c>
      <c r="AP370" s="3">
        <f>AA370*Feuil2!$L$3</f>
        <v>0</v>
      </c>
      <c r="AQ370" s="3">
        <f>AB370*Feuil2!$M$3</f>
        <v>0</v>
      </c>
      <c r="AR370" s="3">
        <f>AC370*Feuil2!$N$3</f>
        <v>25.362106760216179</v>
      </c>
    </row>
    <row r="371" spans="1:44" x14ac:dyDescent="0.35">
      <c r="A371" t="s">
        <v>730</v>
      </c>
      <c r="B371" t="s">
        <v>731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11</v>
      </c>
      <c r="L371">
        <v>0</v>
      </c>
      <c r="M371">
        <v>11</v>
      </c>
      <c r="N371">
        <v>0</v>
      </c>
      <c r="O371">
        <v>22</v>
      </c>
      <c r="Q371" s="1">
        <f>C371/$C$434</f>
        <v>0</v>
      </c>
      <c r="R371" s="1">
        <f t="shared" si="75"/>
        <v>0</v>
      </c>
      <c r="S371" s="1">
        <f t="shared" si="79"/>
        <v>0</v>
      </c>
      <c r="T371" s="1">
        <f t="shared" si="80"/>
        <v>0</v>
      </c>
      <c r="U371" s="1">
        <f t="shared" si="81"/>
        <v>0</v>
      </c>
      <c r="V371" s="1">
        <f t="shared" si="82"/>
        <v>0</v>
      </c>
      <c r="W371" s="1">
        <f t="shared" si="83"/>
        <v>0</v>
      </c>
      <c r="X371" s="1">
        <f t="shared" si="84"/>
        <v>0</v>
      </c>
      <c r="Y371" s="1">
        <f t="shared" si="85"/>
        <v>2.8152432626110099E-4</v>
      </c>
      <c r="Z371" s="1">
        <f t="shared" si="76"/>
        <v>0</v>
      </c>
      <c r="AA371" s="1">
        <f t="shared" si="72"/>
        <v>2.7539243421876176E-4</v>
      </c>
      <c r="AB371" s="1">
        <f t="shared" si="73"/>
        <v>0</v>
      </c>
      <c r="AC371" s="1">
        <f t="shared" si="74"/>
        <v>5.7941700114829913E-5</v>
      </c>
      <c r="AD371" s="1" t="str">
        <f t="shared" si="77"/>
        <v>INTER AUTO</v>
      </c>
      <c r="AE371" s="1" t="str">
        <f t="shared" si="78"/>
        <v>5125</v>
      </c>
      <c r="AF371" s="3">
        <f>Q371*Feuil2!$B$3</f>
        <v>0</v>
      </c>
      <c r="AG371" s="3">
        <f>R371*Feuil2!$C$3</f>
        <v>0</v>
      </c>
      <c r="AH371" s="3">
        <f>S371*Feuil2!$D$3</f>
        <v>0</v>
      </c>
      <c r="AI371" s="3">
        <f>T371*Feuil2!$E$2</f>
        <v>0</v>
      </c>
      <c r="AJ371" s="3">
        <f>U371*Feuil2!$F$3</f>
        <v>0</v>
      </c>
      <c r="AK371" s="3">
        <f>V371*Feuil2!$G$3</f>
        <v>0</v>
      </c>
      <c r="AL371" s="3">
        <f>W371*Feuil2!$H$3</f>
        <v>0</v>
      </c>
      <c r="AM371" s="3">
        <f>X371*Feuil2!$I$2</f>
        <v>0</v>
      </c>
      <c r="AN371" s="3">
        <f>Y371*Feuil2!$J$3</f>
        <v>11.8952023136181</v>
      </c>
      <c r="AO371" s="3">
        <f>Z371*Feuil2!$K$3</f>
        <v>0</v>
      </c>
      <c r="AP371" s="3">
        <f>AA371*Feuil2!$L$3</f>
        <v>10.012574919259947</v>
      </c>
      <c r="AQ371" s="3">
        <f>AB371*Feuil2!$M$3</f>
        <v>0</v>
      </c>
      <c r="AR371" s="3">
        <f>AC371*Feuil2!$N$3</f>
        <v>24.259406466293733</v>
      </c>
    </row>
    <row r="372" spans="1:44" x14ac:dyDescent="0.35">
      <c r="A372" t="s">
        <v>732</v>
      </c>
      <c r="B372" t="s">
        <v>733</v>
      </c>
      <c r="C372">
        <v>22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22</v>
      </c>
      <c r="Q372" s="1">
        <f>C372/$C$434</f>
        <v>5.430891900565307E-4</v>
      </c>
      <c r="R372" s="1">
        <f t="shared" si="75"/>
        <v>0</v>
      </c>
      <c r="S372" s="1">
        <f t="shared" si="79"/>
        <v>0</v>
      </c>
      <c r="T372" s="1">
        <f t="shared" si="80"/>
        <v>0</v>
      </c>
      <c r="U372" s="1">
        <f t="shared" si="81"/>
        <v>0</v>
      </c>
      <c r="V372" s="1">
        <f t="shared" si="82"/>
        <v>0</v>
      </c>
      <c r="W372" s="1">
        <f t="shared" si="83"/>
        <v>0</v>
      </c>
      <c r="X372" s="1">
        <f t="shared" si="84"/>
        <v>0</v>
      </c>
      <c r="Y372" s="1">
        <f t="shared" si="85"/>
        <v>0</v>
      </c>
      <c r="Z372" s="1">
        <f t="shared" si="76"/>
        <v>0</v>
      </c>
      <c r="AA372" s="1">
        <f t="shared" si="72"/>
        <v>0</v>
      </c>
      <c r="AB372" s="1">
        <f t="shared" si="73"/>
        <v>0</v>
      </c>
      <c r="AC372" s="1">
        <f t="shared" si="74"/>
        <v>5.7941700114829913E-5</v>
      </c>
      <c r="AD372" s="1" t="str">
        <f t="shared" si="77"/>
        <v>STM</v>
      </c>
      <c r="AE372" s="1" t="str">
        <f t="shared" si="78"/>
        <v>3637</v>
      </c>
      <c r="AF372" s="3">
        <f>Q372*Feuil2!$B$3</f>
        <v>19.211736651114567</v>
      </c>
      <c r="AG372" s="3">
        <f>R372*Feuil2!$C$3</f>
        <v>0</v>
      </c>
      <c r="AH372" s="3">
        <f>S372*Feuil2!$D$3</f>
        <v>0</v>
      </c>
      <c r="AI372" s="3">
        <f>T372*Feuil2!$E$2</f>
        <v>0</v>
      </c>
      <c r="AJ372" s="3">
        <f>U372*Feuil2!$F$3</f>
        <v>0</v>
      </c>
      <c r="AK372" s="3">
        <f>V372*Feuil2!$G$3</f>
        <v>0</v>
      </c>
      <c r="AL372" s="3">
        <f>W372*Feuil2!$H$3</f>
        <v>0</v>
      </c>
      <c r="AM372" s="3">
        <f>X372*Feuil2!$I$2</f>
        <v>0</v>
      </c>
      <c r="AN372" s="3">
        <f>Y372*Feuil2!$J$3</f>
        <v>0</v>
      </c>
      <c r="AO372" s="3">
        <f>Z372*Feuil2!$K$3</f>
        <v>0</v>
      </c>
      <c r="AP372" s="3">
        <f>AA372*Feuil2!$L$3</f>
        <v>0</v>
      </c>
      <c r="AQ372" s="3">
        <f>AB372*Feuil2!$M$3</f>
        <v>0</v>
      </c>
      <c r="AR372" s="3">
        <f>AC372*Feuil2!$N$3</f>
        <v>24.259406466293733</v>
      </c>
    </row>
    <row r="373" spans="1:44" x14ac:dyDescent="0.35">
      <c r="A373" t="s">
        <v>734</v>
      </c>
      <c r="B373" t="s">
        <v>735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22</v>
      </c>
      <c r="N373">
        <v>0</v>
      </c>
      <c r="O373">
        <v>22</v>
      </c>
      <c r="Q373" s="1">
        <f>C373/$C$434</f>
        <v>0</v>
      </c>
      <c r="R373" s="1">
        <f t="shared" si="75"/>
        <v>0</v>
      </c>
      <c r="S373" s="1">
        <f t="shared" si="79"/>
        <v>0</v>
      </c>
      <c r="T373" s="1">
        <f t="shared" si="80"/>
        <v>0</v>
      </c>
      <c r="U373" s="1">
        <f t="shared" si="81"/>
        <v>0</v>
      </c>
      <c r="V373" s="1">
        <f t="shared" si="82"/>
        <v>0</v>
      </c>
      <c r="W373" s="1">
        <f t="shared" si="83"/>
        <v>0</v>
      </c>
      <c r="X373" s="1">
        <f t="shared" si="84"/>
        <v>0</v>
      </c>
      <c r="Y373" s="1">
        <f t="shared" si="85"/>
        <v>0</v>
      </c>
      <c r="Z373" s="1">
        <f t="shared" si="76"/>
        <v>0</v>
      </c>
      <c r="AA373" s="1">
        <f t="shared" si="72"/>
        <v>5.5078486843752352E-4</v>
      </c>
      <c r="AB373" s="1">
        <f t="shared" si="73"/>
        <v>0</v>
      </c>
      <c r="AC373" s="1">
        <f t="shared" si="74"/>
        <v>5.7941700114829913E-5</v>
      </c>
      <c r="AD373" s="1" t="str">
        <f t="shared" si="77"/>
        <v>VIEL MICHEL</v>
      </c>
      <c r="AE373" s="1" t="str">
        <f t="shared" si="78"/>
        <v>4145</v>
      </c>
      <c r="AF373" s="3">
        <f>Q373*Feuil2!$B$3</f>
        <v>0</v>
      </c>
      <c r="AG373" s="3">
        <f>R373*Feuil2!$C$3</f>
        <v>0</v>
      </c>
      <c r="AH373" s="3">
        <f>S373*Feuil2!$D$3</f>
        <v>0</v>
      </c>
      <c r="AI373" s="3">
        <f>T373*Feuil2!$E$2</f>
        <v>0</v>
      </c>
      <c r="AJ373" s="3">
        <f>U373*Feuil2!$F$3</f>
        <v>0</v>
      </c>
      <c r="AK373" s="3">
        <f>V373*Feuil2!$G$3</f>
        <v>0</v>
      </c>
      <c r="AL373" s="3">
        <f>W373*Feuil2!$H$3</f>
        <v>0</v>
      </c>
      <c r="AM373" s="3">
        <f>X373*Feuil2!$I$2</f>
        <v>0</v>
      </c>
      <c r="AN373" s="3">
        <f>Y373*Feuil2!$J$3</f>
        <v>0</v>
      </c>
      <c r="AO373" s="3">
        <f>Z373*Feuil2!$K$3</f>
        <v>0</v>
      </c>
      <c r="AP373" s="3">
        <f>AA373*Feuil2!$L$3</f>
        <v>20.025149838519894</v>
      </c>
      <c r="AQ373" s="3">
        <f>AB373*Feuil2!$M$3</f>
        <v>0</v>
      </c>
      <c r="AR373" s="3">
        <f>AC373*Feuil2!$N$3</f>
        <v>24.259406466293733</v>
      </c>
    </row>
    <row r="374" spans="1:44" x14ac:dyDescent="0.35">
      <c r="A374" t="s">
        <v>736</v>
      </c>
      <c r="B374" t="s">
        <v>737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21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21</v>
      </c>
      <c r="Q374" s="1">
        <f>C374/$C$434</f>
        <v>0</v>
      </c>
      <c r="R374" s="1">
        <f t="shared" si="75"/>
        <v>0</v>
      </c>
      <c r="S374" s="1">
        <f t="shared" si="79"/>
        <v>0</v>
      </c>
      <c r="T374" s="1">
        <f t="shared" si="80"/>
        <v>0</v>
      </c>
      <c r="U374" s="1">
        <f t="shared" si="81"/>
        <v>0</v>
      </c>
      <c r="V374" s="1">
        <f t="shared" si="82"/>
        <v>7.0297593144310916E-4</v>
      </c>
      <c r="W374" s="1">
        <f t="shared" si="83"/>
        <v>0</v>
      </c>
      <c r="X374" s="1">
        <f t="shared" si="84"/>
        <v>0</v>
      </c>
      <c r="Y374" s="1">
        <f t="shared" si="85"/>
        <v>0</v>
      </c>
      <c r="Z374" s="1">
        <f t="shared" si="76"/>
        <v>0</v>
      </c>
      <c r="AA374" s="1">
        <f t="shared" si="72"/>
        <v>0</v>
      </c>
      <c r="AB374" s="1">
        <f t="shared" si="73"/>
        <v>0</v>
      </c>
      <c r="AC374" s="1">
        <f t="shared" si="74"/>
        <v>5.5307986473246735E-5</v>
      </c>
      <c r="AD374" s="1" t="str">
        <f t="shared" si="77"/>
        <v>LAPLUME AUTO</v>
      </c>
      <c r="AE374" s="1" t="str">
        <f t="shared" si="78"/>
        <v>6492</v>
      </c>
      <c r="AF374" s="3">
        <f>Q374*Feuil2!$B$3</f>
        <v>0</v>
      </c>
      <c r="AG374" s="3">
        <f>R374*Feuil2!$C$3</f>
        <v>0</v>
      </c>
      <c r="AH374" s="3">
        <f>S374*Feuil2!$D$3</f>
        <v>0</v>
      </c>
      <c r="AI374" s="3">
        <f>T374*Feuil2!$E$2</f>
        <v>0</v>
      </c>
      <c r="AJ374" s="3">
        <f>U374*Feuil2!$F$3</f>
        <v>0</v>
      </c>
      <c r="AK374" s="3">
        <f>V374*Feuil2!$G$3</f>
        <v>28.321297492719179</v>
      </c>
      <c r="AL374" s="3">
        <f>W374*Feuil2!$H$3</f>
        <v>0</v>
      </c>
      <c r="AM374" s="3">
        <f>X374*Feuil2!$I$2</f>
        <v>0</v>
      </c>
      <c r="AN374" s="3">
        <f>Y374*Feuil2!$J$3</f>
        <v>0</v>
      </c>
      <c r="AO374" s="3">
        <f>Z374*Feuil2!$K$3</f>
        <v>0</v>
      </c>
      <c r="AP374" s="3">
        <f>AA374*Feuil2!$L$3</f>
        <v>0</v>
      </c>
      <c r="AQ374" s="3">
        <f>AB374*Feuil2!$M$3</f>
        <v>0</v>
      </c>
      <c r="AR374" s="3">
        <f>AC374*Feuil2!$N$3</f>
        <v>23.15670617237129</v>
      </c>
    </row>
    <row r="375" spans="1:44" x14ac:dyDescent="0.35">
      <c r="A375" t="s">
        <v>738</v>
      </c>
      <c r="B375" t="s">
        <v>739</v>
      </c>
      <c r="C375">
        <v>0</v>
      </c>
      <c r="D375">
        <v>0</v>
      </c>
      <c r="E375">
        <v>21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21</v>
      </c>
      <c r="Q375" s="1">
        <f>C375/$C$434</f>
        <v>0</v>
      </c>
      <c r="R375" s="1">
        <f t="shared" si="75"/>
        <v>0</v>
      </c>
      <c r="S375" s="1">
        <f t="shared" si="79"/>
        <v>7.1285515462167764E-4</v>
      </c>
      <c r="T375" s="1">
        <f t="shared" si="80"/>
        <v>0</v>
      </c>
      <c r="U375" s="1">
        <f t="shared" si="81"/>
        <v>0</v>
      </c>
      <c r="V375" s="1">
        <f t="shared" si="82"/>
        <v>0</v>
      </c>
      <c r="W375" s="1">
        <f t="shared" si="83"/>
        <v>0</v>
      </c>
      <c r="X375" s="1">
        <f t="shared" si="84"/>
        <v>0</v>
      </c>
      <c r="Y375" s="1">
        <f t="shared" si="85"/>
        <v>0</v>
      </c>
      <c r="Z375" s="1">
        <f t="shared" si="76"/>
        <v>0</v>
      </c>
      <c r="AA375" s="1">
        <f t="shared" si="72"/>
        <v>0</v>
      </c>
      <c r="AB375" s="1">
        <f t="shared" si="73"/>
        <v>0</v>
      </c>
      <c r="AC375" s="1">
        <f t="shared" si="74"/>
        <v>5.5307986473246735E-5</v>
      </c>
      <c r="AD375" s="1" t="str">
        <f t="shared" si="77"/>
        <v>MIDI AUTO 27</v>
      </c>
      <c r="AE375" s="1" t="str">
        <f t="shared" si="78"/>
        <v>63651</v>
      </c>
      <c r="AF375" s="3">
        <f>Q375*Feuil2!$B$3</f>
        <v>0</v>
      </c>
      <c r="AG375" s="3">
        <f>R375*Feuil2!$C$3</f>
        <v>0</v>
      </c>
      <c r="AH375" s="3">
        <f>S375*Feuil2!$D$3</f>
        <v>28.013639295291764</v>
      </c>
      <c r="AI375" s="3">
        <f>T375*Feuil2!$E$2</f>
        <v>0</v>
      </c>
      <c r="AJ375" s="3">
        <f>U375*Feuil2!$F$3</f>
        <v>0</v>
      </c>
      <c r="AK375" s="3">
        <f>V375*Feuil2!$G$3</f>
        <v>0</v>
      </c>
      <c r="AL375" s="3">
        <f>W375*Feuil2!$H$3</f>
        <v>0</v>
      </c>
      <c r="AM375" s="3">
        <f>X375*Feuil2!$I$2</f>
        <v>0</v>
      </c>
      <c r="AN375" s="3">
        <f>Y375*Feuil2!$J$3</f>
        <v>0</v>
      </c>
      <c r="AO375" s="3">
        <f>Z375*Feuil2!$K$3</f>
        <v>0</v>
      </c>
      <c r="AP375" s="3">
        <f>AA375*Feuil2!$L$3</f>
        <v>0</v>
      </c>
      <c r="AQ375" s="3">
        <f>AB375*Feuil2!$M$3</f>
        <v>0</v>
      </c>
      <c r="AR375" s="3">
        <f>AC375*Feuil2!$N$3</f>
        <v>23.15670617237129</v>
      </c>
    </row>
    <row r="376" spans="1:44" x14ac:dyDescent="0.35">
      <c r="A376" t="s">
        <v>740</v>
      </c>
      <c r="B376" t="s">
        <v>741</v>
      </c>
      <c r="C376">
        <v>0</v>
      </c>
      <c r="D376">
        <v>0</v>
      </c>
      <c r="E376">
        <v>0</v>
      </c>
      <c r="F376">
        <v>21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21</v>
      </c>
      <c r="Q376" s="1">
        <f>C376/$C$434</f>
        <v>0</v>
      </c>
      <c r="R376" s="1">
        <f t="shared" si="75"/>
        <v>0</v>
      </c>
      <c r="S376" s="1">
        <f t="shared" si="79"/>
        <v>0</v>
      </c>
      <c r="T376" s="1">
        <f t="shared" si="80"/>
        <v>8.4327189495241538E-4</v>
      </c>
      <c r="U376" s="1">
        <f t="shared" si="81"/>
        <v>0</v>
      </c>
      <c r="V376" s="1">
        <f t="shared" si="82"/>
        <v>0</v>
      </c>
      <c r="W376" s="1">
        <f t="shared" si="83"/>
        <v>0</v>
      </c>
      <c r="X376" s="1">
        <f t="shared" si="84"/>
        <v>0</v>
      </c>
      <c r="Y376" s="1">
        <f t="shared" si="85"/>
        <v>0</v>
      </c>
      <c r="Z376" s="1">
        <f t="shared" si="76"/>
        <v>0</v>
      </c>
      <c r="AA376" s="1">
        <f t="shared" si="72"/>
        <v>0</v>
      </c>
      <c r="AB376" s="1">
        <f t="shared" si="73"/>
        <v>0</v>
      </c>
      <c r="AC376" s="1">
        <f t="shared" si="74"/>
        <v>5.5307986473246735E-5</v>
      </c>
      <c r="AD376" s="1" t="str">
        <f t="shared" si="77"/>
        <v>NDA14 CARROSSERIE</v>
      </c>
      <c r="AE376" s="1" t="str">
        <f t="shared" si="78"/>
        <v>6628</v>
      </c>
      <c r="AF376" s="3">
        <f>Q376*Feuil2!$B$3</f>
        <v>0</v>
      </c>
      <c r="AG376" s="3">
        <f>R376*Feuil2!$C$3</f>
        <v>0</v>
      </c>
      <c r="AH376" s="3">
        <f>S376*Feuil2!$D$3</f>
        <v>0</v>
      </c>
      <c r="AI376" s="3">
        <f>T376*Feuil2!$E$2</f>
        <v>31.608360438501386</v>
      </c>
      <c r="AJ376" s="3">
        <f>U376*Feuil2!$F$3</f>
        <v>0</v>
      </c>
      <c r="AK376" s="3">
        <f>V376*Feuil2!$G$3</f>
        <v>0</v>
      </c>
      <c r="AL376" s="3">
        <f>W376*Feuil2!$H$3</f>
        <v>0</v>
      </c>
      <c r="AM376" s="3">
        <f>X376*Feuil2!$I$2</f>
        <v>0</v>
      </c>
      <c r="AN376" s="3">
        <f>Y376*Feuil2!$J$3</f>
        <v>0</v>
      </c>
      <c r="AO376" s="3">
        <f>Z376*Feuil2!$K$3</f>
        <v>0</v>
      </c>
      <c r="AP376" s="3">
        <f>AA376*Feuil2!$L$3</f>
        <v>0</v>
      </c>
      <c r="AQ376" s="3">
        <f>AB376*Feuil2!$M$3</f>
        <v>0</v>
      </c>
      <c r="AR376" s="3">
        <f>AC376*Feuil2!$N$3</f>
        <v>23.15670617237129</v>
      </c>
    </row>
    <row r="377" spans="1:44" x14ac:dyDescent="0.35">
      <c r="A377" t="s">
        <v>742</v>
      </c>
      <c r="B377" t="s">
        <v>743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20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20</v>
      </c>
      <c r="Q377" s="1">
        <f>C377/$C$434</f>
        <v>0</v>
      </c>
      <c r="R377" s="1">
        <f t="shared" si="75"/>
        <v>0</v>
      </c>
      <c r="S377" s="1">
        <f t="shared" si="79"/>
        <v>0</v>
      </c>
      <c r="T377" s="1">
        <f t="shared" si="80"/>
        <v>0</v>
      </c>
      <c r="U377" s="1">
        <f t="shared" si="81"/>
        <v>0</v>
      </c>
      <c r="V377" s="1">
        <f t="shared" si="82"/>
        <v>0</v>
      </c>
      <c r="W377" s="1">
        <f t="shared" si="83"/>
        <v>4.4784808992789644E-4</v>
      </c>
      <c r="X377" s="1">
        <f t="shared" si="84"/>
        <v>0</v>
      </c>
      <c r="Y377" s="1">
        <f t="shared" si="85"/>
        <v>0</v>
      </c>
      <c r="Z377" s="1">
        <f t="shared" si="76"/>
        <v>0</v>
      </c>
      <c r="AA377" s="1">
        <f t="shared" si="72"/>
        <v>0</v>
      </c>
      <c r="AB377" s="1">
        <f t="shared" si="73"/>
        <v>0</v>
      </c>
      <c r="AC377" s="1">
        <f t="shared" si="74"/>
        <v>5.2674272831663556E-5</v>
      </c>
      <c r="AD377" s="1" t="str">
        <f t="shared" si="77"/>
        <v>135STILL</v>
      </c>
      <c r="AE377" s="1" t="str">
        <f t="shared" si="78"/>
        <v>3876</v>
      </c>
      <c r="AF377" s="3">
        <f>Q377*Feuil2!$B$3</f>
        <v>0</v>
      </c>
      <c r="AG377" s="3">
        <f>R377*Feuil2!$C$3</f>
        <v>0</v>
      </c>
      <c r="AH377" s="3">
        <f>S377*Feuil2!$D$3</f>
        <v>0</v>
      </c>
      <c r="AI377" s="3">
        <f>T377*Feuil2!$E$2</f>
        <v>0</v>
      </c>
      <c r="AJ377" s="3">
        <f>U377*Feuil2!$F$3</f>
        <v>0</v>
      </c>
      <c r="AK377" s="3">
        <f>V377*Feuil2!$G$3</f>
        <v>0</v>
      </c>
      <c r="AL377" s="3">
        <f>W377*Feuil2!$H$3</f>
        <v>16.282627972591698</v>
      </c>
      <c r="AM377" s="3">
        <f>X377*Feuil2!$I$2</f>
        <v>0</v>
      </c>
      <c r="AN377" s="3">
        <f>Y377*Feuil2!$J$3</f>
        <v>0</v>
      </c>
      <c r="AO377" s="3">
        <f>Z377*Feuil2!$K$3</f>
        <v>0</v>
      </c>
      <c r="AP377" s="3">
        <f>AA377*Feuil2!$L$3</f>
        <v>0</v>
      </c>
      <c r="AQ377" s="3">
        <f>AB377*Feuil2!$M$3</f>
        <v>0</v>
      </c>
      <c r="AR377" s="3">
        <f>AC377*Feuil2!$N$3</f>
        <v>22.054005878448848</v>
      </c>
    </row>
    <row r="378" spans="1:44" x14ac:dyDescent="0.35">
      <c r="A378" t="s">
        <v>744</v>
      </c>
      <c r="B378" t="s">
        <v>745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20</v>
      </c>
      <c r="N378">
        <v>0</v>
      </c>
      <c r="O378">
        <v>20</v>
      </c>
      <c r="Q378" s="1">
        <f>C378/$C$434</f>
        <v>0</v>
      </c>
      <c r="R378" s="1">
        <f t="shared" si="75"/>
        <v>0</v>
      </c>
      <c r="S378" s="1">
        <f t="shared" si="79"/>
        <v>0</v>
      </c>
      <c r="T378" s="1">
        <f t="shared" si="80"/>
        <v>0</v>
      </c>
      <c r="U378" s="1">
        <f t="shared" si="81"/>
        <v>0</v>
      </c>
      <c r="V378" s="1">
        <f t="shared" si="82"/>
        <v>0</v>
      </c>
      <c r="W378" s="1">
        <f t="shared" si="83"/>
        <v>0</v>
      </c>
      <c r="X378" s="1">
        <f t="shared" si="84"/>
        <v>0</v>
      </c>
      <c r="Y378" s="1">
        <f t="shared" si="85"/>
        <v>0</v>
      </c>
      <c r="Z378" s="1">
        <f t="shared" si="76"/>
        <v>0</v>
      </c>
      <c r="AA378" s="1">
        <f t="shared" si="72"/>
        <v>5.0071351676138495E-4</v>
      </c>
      <c r="AB378" s="1">
        <f t="shared" si="73"/>
        <v>0</v>
      </c>
      <c r="AC378" s="1">
        <f t="shared" si="74"/>
        <v>5.2674272831663556E-5</v>
      </c>
      <c r="AD378" s="1" t="str">
        <f t="shared" si="77"/>
        <v>FRANCE ALLIANCE 14</v>
      </c>
      <c r="AE378" s="1" t="str">
        <f t="shared" si="78"/>
        <v>7011</v>
      </c>
      <c r="AF378" s="3">
        <f>Q378*Feuil2!$B$3</f>
        <v>0</v>
      </c>
      <c r="AG378" s="3">
        <f>R378*Feuil2!$C$3</f>
        <v>0</v>
      </c>
      <c r="AH378" s="3">
        <f>S378*Feuil2!$D$3</f>
        <v>0</v>
      </c>
      <c r="AI378" s="3">
        <f>T378*Feuil2!$E$2</f>
        <v>0</v>
      </c>
      <c r="AJ378" s="3">
        <f>U378*Feuil2!$F$3</f>
        <v>0</v>
      </c>
      <c r="AK378" s="3">
        <f>V378*Feuil2!$G$3</f>
        <v>0</v>
      </c>
      <c r="AL378" s="3">
        <f>W378*Feuil2!$H$3</f>
        <v>0</v>
      </c>
      <c r="AM378" s="3">
        <f>X378*Feuil2!$I$2</f>
        <v>0</v>
      </c>
      <c r="AN378" s="3">
        <f>Y378*Feuil2!$J$3</f>
        <v>0</v>
      </c>
      <c r="AO378" s="3">
        <f>Z378*Feuil2!$K$3</f>
        <v>0</v>
      </c>
      <c r="AP378" s="3">
        <f>AA378*Feuil2!$L$3</f>
        <v>18.204681671381721</v>
      </c>
      <c r="AQ378" s="3">
        <f>AB378*Feuil2!$M$3</f>
        <v>0</v>
      </c>
      <c r="AR378" s="3">
        <f>AC378*Feuil2!$N$3</f>
        <v>22.054005878448848</v>
      </c>
    </row>
    <row r="379" spans="1:44" x14ac:dyDescent="0.35">
      <c r="A379" t="s">
        <v>746</v>
      </c>
      <c r="B379" t="s">
        <v>747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20</v>
      </c>
      <c r="N379">
        <v>0</v>
      </c>
      <c r="O379">
        <v>20</v>
      </c>
      <c r="Q379" s="1">
        <f>C379/$C$434</f>
        <v>0</v>
      </c>
      <c r="R379" s="1">
        <f t="shared" si="75"/>
        <v>0</v>
      </c>
      <c r="S379" s="1">
        <f t="shared" si="79"/>
        <v>0</v>
      </c>
      <c r="T379" s="1">
        <f t="shared" si="80"/>
        <v>0</v>
      </c>
      <c r="U379" s="1">
        <f t="shared" si="81"/>
        <v>0</v>
      </c>
      <c r="V379" s="1">
        <f t="shared" si="82"/>
        <v>0</v>
      </c>
      <c r="W379" s="1">
        <f t="shared" si="83"/>
        <v>0</v>
      </c>
      <c r="X379" s="1">
        <f t="shared" si="84"/>
        <v>0</v>
      </c>
      <c r="Y379" s="1">
        <f t="shared" si="85"/>
        <v>0</v>
      </c>
      <c r="Z379" s="1">
        <f t="shared" si="76"/>
        <v>0</v>
      </c>
      <c r="AA379" s="1">
        <f t="shared" si="72"/>
        <v>5.0071351676138495E-4</v>
      </c>
      <c r="AB379" s="1">
        <f t="shared" si="73"/>
        <v>0</v>
      </c>
      <c r="AC379" s="1">
        <f t="shared" si="74"/>
        <v>5.2674272831663556E-5</v>
      </c>
      <c r="AD379" s="1" t="str">
        <f t="shared" si="77"/>
        <v>L ATELIER AUTO MOTO SASU</v>
      </c>
      <c r="AE379" s="1" t="str">
        <f t="shared" si="78"/>
        <v>3657</v>
      </c>
      <c r="AF379" s="3">
        <f>Q379*Feuil2!$B$3</f>
        <v>0</v>
      </c>
      <c r="AG379" s="3">
        <f>R379*Feuil2!$C$3</f>
        <v>0</v>
      </c>
      <c r="AH379" s="3">
        <f>S379*Feuil2!$D$3</f>
        <v>0</v>
      </c>
      <c r="AI379" s="3">
        <f>T379*Feuil2!$E$2</f>
        <v>0</v>
      </c>
      <c r="AJ379" s="3">
        <f>U379*Feuil2!$F$3</f>
        <v>0</v>
      </c>
      <c r="AK379" s="3">
        <f>V379*Feuil2!$G$3</f>
        <v>0</v>
      </c>
      <c r="AL379" s="3">
        <f>W379*Feuil2!$H$3</f>
        <v>0</v>
      </c>
      <c r="AM379" s="3">
        <f>X379*Feuil2!$I$2</f>
        <v>0</v>
      </c>
      <c r="AN379" s="3">
        <f>Y379*Feuil2!$J$3</f>
        <v>0</v>
      </c>
      <c r="AO379" s="3">
        <f>Z379*Feuil2!$K$3</f>
        <v>0</v>
      </c>
      <c r="AP379" s="3">
        <f>AA379*Feuil2!$L$3</f>
        <v>18.204681671381721</v>
      </c>
      <c r="AQ379" s="3">
        <f>AB379*Feuil2!$M$3</f>
        <v>0</v>
      </c>
      <c r="AR379" s="3">
        <f>AC379*Feuil2!$N$3</f>
        <v>22.054005878448848</v>
      </c>
    </row>
    <row r="380" spans="1:44" x14ac:dyDescent="0.35">
      <c r="A380" t="s">
        <v>748</v>
      </c>
      <c r="B380" t="s">
        <v>749</v>
      </c>
      <c r="C380">
        <v>0</v>
      </c>
      <c r="D380">
        <v>0</v>
      </c>
      <c r="E380">
        <v>19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19</v>
      </c>
      <c r="Q380" s="1">
        <f>C380/$C$434</f>
        <v>0</v>
      </c>
      <c r="R380" s="1">
        <f t="shared" si="75"/>
        <v>0</v>
      </c>
      <c r="S380" s="1">
        <f t="shared" si="79"/>
        <v>6.4496418751485113E-4</v>
      </c>
      <c r="T380" s="1">
        <f t="shared" si="80"/>
        <v>0</v>
      </c>
      <c r="U380" s="1">
        <f t="shared" si="81"/>
        <v>0</v>
      </c>
      <c r="V380" s="1">
        <f t="shared" si="82"/>
        <v>0</v>
      </c>
      <c r="W380" s="1">
        <f t="shared" si="83"/>
        <v>0</v>
      </c>
      <c r="X380" s="1">
        <f t="shared" si="84"/>
        <v>0</v>
      </c>
      <c r="Y380" s="1">
        <f t="shared" si="85"/>
        <v>0</v>
      </c>
      <c r="Z380" s="1">
        <f t="shared" si="76"/>
        <v>0</v>
      </c>
      <c r="AA380" s="1">
        <f t="shared" si="72"/>
        <v>0</v>
      </c>
      <c r="AB380" s="1">
        <f t="shared" si="73"/>
        <v>0</v>
      </c>
      <c r="AC380" s="1">
        <f t="shared" si="74"/>
        <v>5.0040559190080378E-5</v>
      </c>
      <c r="AD380" s="1" t="str">
        <f t="shared" si="77"/>
        <v>BY CHAB</v>
      </c>
      <c r="AE380" s="1" t="str">
        <f t="shared" si="78"/>
        <v>5298</v>
      </c>
      <c r="AF380" s="3">
        <f>Q380*Feuil2!$B$3</f>
        <v>0</v>
      </c>
      <c r="AG380" s="3">
        <f>R380*Feuil2!$C$3</f>
        <v>0</v>
      </c>
      <c r="AH380" s="3">
        <f>S380*Feuil2!$D$3</f>
        <v>25.345673648121117</v>
      </c>
      <c r="AI380" s="3">
        <f>T380*Feuil2!$E$2</f>
        <v>0</v>
      </c>
      <c r="AJ380" s="3">
        <f>U380*Feuil2!$F$3</f>
        <v>0</v>
      </c>
      <c r="AK380" s="3">
        <f>V380*Feuil2!$G$3</f>
        <v>0</v>
      </c>
      <c r="AL380" s="3">
        <f>W380*Feuil2!$H$3</f>
        <v>0</v>
      </c>
      <c r="AM380" s="3">
        <f>X380*Feuil2!$I$2</f>
        <v>0</v>
      </c>
      <c r="AN380" s="3">
        <f>Y380*Feuil2!$J$3</f>
        <v>0</v>
      </c>
      <c r="AO380" s="3">
        <f>Z380*Feuil2!$K$3</f>
        <v>0</v>
      </c>
      <c r="AP380" s="3">
        <f>AA380*Feuil2!$L$3</f>
        <v>0</v>
      </c>
      <c r="AQ380" s="3">
        <f>AB380*Feuil2!$M$3</f>
        <v>0</v>
      </c>
      <c r="AR380" s="3">
        <f>AC380*Feuil2!$N$3</f>
        <v>20.951305584526406</v>
      </c>
    </row>
    <row r="381" spans="1:44" x14ac:dyDescent="0.35">
      <c r="A381" t="s">
        <v>750</v>
      </c>
      <c r="B381" t="s">
        <v>751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19</v>
      </c>
      <c r="K381">
        <v>0</v>
      </c>
      <c r="L381">
        <v>0</v>
      </c>
      <c r="M381">
        <v>0</v>
      </c>
      <c r="N381">
        <v>0</v>
      </c>
      <c r="O381">
        <v>19</v>
      </c>
      <c r="Q381" s="1">
        <f>C381/$C$434</f>
        <v>0</v>
      </c>
      <c r="R381" s="1">
        <f t="shared" si="75"/>
        <v>0</v>
      </c>
      <c r="S381" s="1">
        <f t="shared" si="79"/>
        <v>0</v>
      </c>
      <c r="T381" s="1">
        <f t="shared" si="80"/>
        <v>0</v>
      </c>
      <c r="U381" s="1">
        <f t="shared" si="81"/>
        <v>0</v>
      </c>
      <c r="V381" s="1">
        <f t="shared" si="82"/>
        <v>0</v>
      </c>
      <c r="W381" s="1">
        <f t="shared" si="83"/>
        <v>0</v>
      </c>
      <c r="X381" s="1">
        <f t="shared" si="84"/>
        <v>1.0150657121487338E-3</v>
      </c>
      <c r="Y381" s="1">
        <f t="shared" si="85"/>
        <v>0</v>
      </c>
      <c r="Z381" s="1">
        <f t="shared" si="76"/>
        <v>0</v>
      </c>
      <c r="AA381" s="1">
        <f t="shared" si="72"/>
        <v>0</v>
      </c>
      <c r="AB381" s="1">
        <f t="shared" si="73"/>
        <v>0</v>
      </c>
      <c r="AC381" s="1">
        <f t="shared" si="74"/>
        <v>5.0040559190080378E-5</v>
      </c>
      <c r="AD381" s="1" t="str">
        <f t="shared" si="77"/>
        <v>DUBREUIL BOURG ACHARD</v>
      </c>
      <c r="AE381" s="1" t="str">
        <f t="shared" si="78"/>
        <v>402004</v>
      </c>
      <c r="AF381" s="3">
        <f>Q381*Feuil2!$B$3</f>
        <v>0</v>
      </c>
      <c r="AG381" s="3">
        <f>R381*Feuil2!$C$3</f>
        <v>0</v>
      </c>
      <c r="AH381" s="3">
        <f>S381*Feuil2!$D$3</f>
        <v>0</v>
      </c>
      <c r="AI381" s="3">
        <f>T381*Feuil2!$E$2</f>
        <v>0</v>
      </c>
      <c r="AJ381" s="3">
        <f>U381*Feuil2!$F$3</f>
        <v>0</v>
      </c>
      <c r="AK381" s="3">
        <f>V381*Feuil2!$G$3</f>
        <v>0</v>
      </c>
      <c r="AL381" s="3">
        <f>W381*Feuil2!$H$3</f>
        <v>0</v>
      </c>
      <c r="AM381" s="3">
        <f>X381*Feuil2!$I$2</f>
        <v>21.683833742921252</v>
      </c>
      <c r="AN381" s="3">
        <f>Y381*Feuil2!$J$3</f>
        <v>0</v>
      </c>
      <c r="AO381" s="3">
        <f>Z381*Feuil2!$K$3</f>
        <v>0</v>
      </c>
      <c r="AP381" s="3">
        <f>AA381*Feuil2!$L$3</f>
        <v>0</v>
      </c>
      <c r="AQ381" s="3">
        <f>AB381*Feuil2!$M$3</f>
        <v>0</v>
      </c>
      <c r="AR381" s="3">
        <f>AC381*Feuil2!$N$3</f>
        <v>20.951305584526406</v>
      </c>
    </row>
    <row r="382" spans="1:44" x14ac:dyDescent="0.35">
      <c r="A382" t="s">
        <v>752</v>
      </c>
      <c r="B382" t="s">
        <v>753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19</v>
      </c>
      <c r="K382">
        <v>0</v>
      </c>
      <c r="L382">
        <v>0</v>
      </c>
      <c r="M382">
        <v>0</v>
      </c>
      <c r="N382">
        <v>0</v>
      </c>
      <c r="O382">
        <v>19</v>
      </c>
      <c r="Q382" s="1">
        <f>C382/$C$434</f>
        <v>0</v>
      </c>
      <c r="R382" s="1">
        <f t="shared" si="75"/>
        <v>0</v>
      </c>
      <c r="S382" s="1">
        <f t="shared" si="79"/>
        <v>0</v>
      </c>
      <c r="T382" s="1">
        <f t="shared" si="80"/>
        <v>0</v>
      </c>
      <c r="U382" s="1">
        <f t="shared" si="81"/>
        <v>0</v>
      </c>
      <c r="V382" s="1">
        <f t="shared" si="82"/>
        <v>0</v>
      </c>
      <c r="W382" s="1">
        <f t="shared" si="83"/>
        <v>0</v>
      </c>
      <c r="X382" s="1">
        <f t="shared" si="84"/>
        <v>1.0150657121487338E-3</v>
      </c>
      <c r="Y382" s="1">
        <f t="shared" si="85"/>
        <v>0</v>
      </c>
      <c r="Z382" s="1">
        <f t="shared" si="76"/>
        <v>0</v>
      </c>
      <c r="AA382" s="1">
        <f t="shared" si="72"/>
        <v>0</v>
      </c>
      <c r="AB382" s="1">
        <f t="shared" si="73"/>
        <v>0</v>
      </c>
      <c r="AC382" s="1">
        <f t="shared" si="74"/>
        <v>5.0040559190080378E-5</v>
      </c>
      <c r="AD382" s="1" t="str">
        <f t="shared" si="77"/>
        <v>FRANCE PARE BRISE</v>
      </c>
      <c r="AE382" s="1" t="str">
        <f t="shared" si="78"/>
        <v>3232</v>
      </c>
      <c r="AF382" s="3">
        <f>Q382*Feuil2!$B$3</f>
        <v>0</v>
      </c>
      <c r="AG382" s="3">
        <f>R382*Feuil2!$C$3</f>
        <v>0</v>
      </c>
      <c r="AH382" s="3">
        <f>S382*Feuil2!$D$3</f>
        <v>0</v>
      </c>
      <c r="AI382" s="3">
        <f>T382*Feuil2!$E$2</f>
        <v>0</v>
      </c>
      <c r="AJ382" s="3">
        <f>U382*Feuil2!$F$3</f>
        <v>0</v>
      </c>
      <c r="AK382" s="3">
        <f>V382*Feuil2!$G$3</f>
        <v>0</v>
      </c>
      <c r="AL382" s="3">
        <f>W382*Feuil2!$H$3</f>
        <v>0</v>
      </c>
      <c r="AM382" s="3">
        <f>X382*Feuil2!$I$2</f>
        <v>21.683833742921252</v>
      </c>
      <c r="AN382" s="3">
        <f>Y382*Feuil2!$J$3</f>
        <v>0</v>
      </c>
      <c r="AO382" s="3">
        <f>Z382*Feuil2!$K$3</f>
        <v>0</v>
      </c>
      <c r="AP382" s="3">
        <f>AA382*Feuil2!$L$3</f>
        <v>0</v>
      </c>
      <c r="AQ382" s="3">
        <f>AB382*Feuil2!$M$3</f>
        <v>0</v>
      </c>
      <c r="AR382" s="3">
        <f>AC382*Feuil2!$N$3</f>
        <v>20.951305584526406</v>
      </c>
    </row>
    <row r="383" spans="1:44" x14ac:dyDescent="0.35">
      <c r="A383" t="s">
        <v>754</v>
      </c>
      <c r="B383" t="s">
        <v>755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19</v>
      </c>
      <c r="L383">
        <v>0</v>
      </c>
      <c r="M383">
        <v>0</v>
      </c>
      <c r="N383">
        <v>0</v>
      </c>
      <c r="O383">
        <v>19</v>
      </c>
      <c r="Q383" s="1">
        <f>C383/$C$434</f>
        <v>0</v>
      </c>
      <c r="R383" s="1">
        <f t="shared" si="75"/>
        <v>0</v>
      </c>
      <c r="S383" s="1">
        <f t="shared" si="79"/>
        <v>0</v>
      </c>
      <c r="T383" s="1">
        <f t="shared" si="80"/>
        <v>0</v>
      </c>
      <c r="U383" s="1">
        <f t="shared" si="81"/>
        <v>0</v>
      </c>
      <c r="V383" s="1">
        <f t="shared" si="82"/>
        <v>0</v>
      </c>
      <c r="W383" s="1">
        <f t="shared" si="83"/>
        <v>0</v>
      </c>
      <c r="X383" s="1">
        <f t="shared" si="84"/>
        <v>0</v>
      </c>
      <c r="Y383" s="1">
        <f t="shared" si="85"/>
        <v>4.8626929081462905E-4</v>
      </c>
      <c r="Z383" s="1">
        <f t="shared" si="76"/>
        <v>0</v>
      </c>
      <c r="AA383" s="1">
        <f t="shared" si="72"/>
        <v>0</v>
      </c>
      <c r="AB383" s="1">
        <f t="shared" si="73"/>
        <v>0</v>
      </c>
      <c r="AC383" s="1">
        <f t="shared" si="74"/>
        <v>5.0040559190080378E-5</v>
      </c>
      <c r="AD383" s="1" t="str">
        <f t="shared" si="77"/>
        <v>ML PIECES AUTO</v>
      </c>
      <c r="AE383" s="1" t="str">
        <f t="shared" si="78"/>
        <v>3976</v>
      </c>
      <c r="AF383" s="3">
        <f>Q383*Feuil2!$B$3</f>
        <v>0</v>
      </c>
      <c r="AG383" s="3">
        <f>R383*Feuil2!$C$3</f>
        <v>0</v>
      </c>
      <c r="AH383" s="3">
        <f>S383*Feuil2!$D$3</f>
        <v>0</v>
      </c>
      <c r="AI383" s="3">
        <f>T383*Feuil2!$E$2</f>
        <v>0</v>
      </c>
      <c r="AJ383" s="3">
        <f>U383*Feuil2!$F$3</f>
        <v>0</v>
      </c>
      <c r="AK383" s="3">
        <f>V383*Feuil2!$G$3</f>
        <v>0</v>
      </c>
      <c r="AL383" s="3">
        <f>W383*Feuil2!$H$3</f>
        <v>0</v>
      </c>
      <c r="AM383" s="3">
        <f>X383*Feuil2!$I$2</f>
        <v>0</v>
      </c>
      <c r="AN383" s="3">
        <f>Y383*Feuil2!$J$3</f>
        <v>20.546258541703992</v>
      </c>
      <c r="AO383" s="3">
        <f>Z383*Feuil2!$K$3</f>
        <v>0</v>
      </c>
      <c r="AP383" s="3">
        <f>AA383*Feuil2!$L$3</f>
        <v>0</v>
      </c>
      <c r="AQ383" s="3">
        <f>AB383*Feuil2!$M$3</f>
        <v>0</v>
      </c>
      <c r="AR383" s="3">
        <f>AC383*Feuil2!$N$3</f>
        <v>20.951305584526406</v>
      </c>
    </row>
    <row r="384" spans="1:44" x14ac:dyDescent="0.35">
      <c r="A384" t="s">
        <v>756</v>
      </c>
      <c r="B384" t="s">
        <v>757</v>
      </c>
      <c r="C384">
        <v>18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18</v>
      </c>
      <c r="Q384" s="1">
        <f>C384/$C$434</f>
        <v>4.4434570095534326E-4</v>
      </c>
      <c r="R384" s="1">
        <f t="shared" si="75"/>
        <v>0</v>
      </c>
      <c r="S384" s="1">
        <f t="shared" si="79"/>
        <v>0</v>
      </c>
      <c r="T384" s="1">
        <f t="shared" si="80"/>
        <v>0</v>
      </c>
      <c r="U384" s="1">
        <f t="shared" si="81"/>
        <v>0</v>
      </c>
      <c r="V384" s="1">
        <f t="shared" si="82"/>
        <v>0</v>
      </c>
      <c r="W384" s="1">
        <f t="shared" si="83"/>
        <v>0</v>
      </c>
      <c r="X384" s="1">
        <f t="shared" si="84"/>
        <v>0</v>
      </c>
      <c r="Y384" s="1">
        <f t="shared" si="85"/>
        <v>0</v>
      </c>
      <c r="Z384" s="1">
        <f t="shared" si="76"/>
        <v>0</v>
      </c>
      <c r="AA384" s="1">
        <f t="shared" si="72"/>
        <v>0</v>
      </c>
      <c r="AB384" s="1">
        <f t="shared" si="73"/>
        <v>0</v>
      </c>
      <c r="AC384" s="1">
        <f t="shared" si="74"/>
        <v>4.7406845548497206E-5</v>
      </c>
      <c r="AD384" s="1" t="str">
        <f t="shared" si="77"/>
        <v>JCBS AUTOMOBILE</v>
      </c>
      <c r="AE384" s="1" t="str">
        <f t="shared" si="78"/>
        <v>6670</v>
      </c>
      <c r="AF384" s="3">
        <f>Q384*Feuil2!$B$3</f>
        <v>15.71869362363919</v>
      </c>
      <c r="AG384" s="3">
        <f>R384*Feuil2!$C$3</f>
        <v>0</v>
      </c>
      <c r="AH384" s="3">
        <f>S384*Feuil2!$D$3</f>
        <v>0</v>
      </c>
      <c r="AI384" s="3">
        <f>T384*Feuil2!$E$2</f>
        <v>0</v>
      </c>
      <c r="AJ384" s="3">
        <f>U384*Feuil2!$F$3</f>
        <v>0</v>
      </c>
      <c r="AK384" s="3">
        <f>V384*Feuil2!$G$3</f>
        <v>0</v>
      </c>
      <c r="AL384" s="3">
        <f>W384*Feuil2!$H$3</f>
        <v>0</v>
      </c>
      <c r="AM384" s="3">
        <f>X384*Feuil2!$I$2</f>
        <v>0</v>
      </c>
      <c r="AN384" s="3">
        <f>Y384*Feuil2!$J$3</f>
        <v>0</v>
      </c>
      <c r="AO384" s="3">
        <f>Z384*Feuil2!$K$3</f>
        <v>0</v>
      </c>
      <c r="AP384" s="3">
        <f>AA384*Feuil2!$L$3</f>
        <v>0</v>
      </c>
      <c r="AQ384" s="3">
        <f>AB384*Feuil2!$M$3</f>
        <v>0</v>
      </c>
      <c r="AR384" s="3">
        <f>AC384*Feuil2!$N$3</f>
        <v>19.848605290603967</v>
      </c>
    </row>
    <row r="385" spans="1:44" x14ac:dyDescent="0.35">
      <c r="A385" t="s">
        <v>758</v>
      </c>
      <c r="B385" t="s">
        <v>759</v>
      </c>
      <c r="C385">
        <v>0</v>
      </c>
      <c r="D385">
        <v>0</v>
      </c>
      <c r="E385">
        <v>18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18</v>
      </c>
      <c r="Q385" s="1">
        <f>C385/$C$434</f>
        <v>0</v>
      </c>
      <c r="R385" s="1">
        <f t="shared" si="75"/>
        <v>0</v>
      </c>
      <c r="S385" s="1">
        <f t="shared" si="79"/>
        <v>6.1101870396143793E-4</v>
      </c>
      <c r="T385" s="1">
        <f t="shared" si="80"/>
        <v>0</v>
      </c>
      <c r="U385" s="1">
        <f t="shared" si="81"/>
        <v>0</v>
      </c>
      <c r="V385" s="1">
        <f t="shared" si="82"/>
        <v>0</v>
      </c>
      <c r="W385" s="1">
        <f t="shared" si="83"/>
        <v>0</v>
      </c>
      <c r="X385" s="1">
        <f t="shared" si="84"/>
        <v>0</v>
      </c>
      <c r="Y385" s="1">
        <f t="shared" si="85"/>
        <v>0</v>
      </c>
      <c r="Z385" s="1">
        <f t="shared" si="76"/>
        <v>0</v>
      </c>
      <c r="AA385" s="1">
        <f t="shared" si="72"/>
        <v>0</v>
      </c>
      <c r="AB385" s="1">
        <f t="shared" si="73"/>
        <v>0</v>
      </c>
      <c r="AC385" s="1">
        <f t="shared" si="74"/>
        <v>4.7406845548497206E-5</v>
      </c>
      <c r="AD385" s="1" t="str">
        <f t="shared" si="77"/>
        <v>LA AUTOMOBILES</v>
      </c>
      <c r="AE385" s="1" t="str">
        <f t="shared" si="78"/>
        <v>5103</v>
      </c>
      <c r="AF385" s="3">
        <f>Q385*Feuil2!$B$3</f>
        <v>0</v>
      </c>
      <c r="AG385" s="3">
        <f>R385*Feuil2!$C$3</f>
        <v>0</v>
      </c>
      <c r="AH385" s="3">
        <f>S385*Feuil2!$D$3</f>
        <v>24.011690824535798</v>
      </c>
      <c r="AI385" s="3">
        <f>T385*Feuil2!$E$2</f>
        <v>0</v>
      </c>
      <c r="AJ385" s="3">
        <f>U385*Feuil2!$F$3</f>
        <v>0</v>
      </c>
      <c r="AK385" s="3">
        <f>V385*Feuil2!$G$3</f>
        <v>0</v>
      </c>
      <c r="AL385" s="3">
        <f>W385*Feuil2!$H$3</f>
        <v>0</v>
      </c>
      <c r="AM385" s="3">
        <f>X385*Feuil2!$I$2</f>
        <v>0</v>
      </c>
      <c r="AN385" s="3">
        <f>Y385*Feuil2!$J$3</f>
        <v>0</v>
      </c>
      <c r="AO385" s="3">
        <f>Z385*Feuil2!$K$3</f>
        <v>0</v>
      </c>
      <c r="AP385" s="3">
        <f>AA385*Feuil2!$L$3</f>
        <v>0</v>
      </c>
      <c r="AQ385" s="3">
        <f>AB385*Feuil2!$M$3</f>
        <v>0</v>
      </c>
      <c r="AR385" s="3">
        <f>AC385*Feuil2!$N$3</f>
        <v>19.848605290603967</v>
      </c>
    </row>
    <row r="386" spans="1:44" x14ac:dyDescent="0.35">
      <c r="A386" t="s">
        <v>760</v>
      </c>
      <c r="B386" t="s">
        <v>598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17</v>
      </c>
      <c r="K386">
        <v>0</v>
      </c>
      <c r="L386">
        <v>0</v>
      </c>
      <c r="M386">
        <v>0</v>
      </c>
      <c r="N386">
        <v>0</v>
      </c>
      <c r="O386">
        <v>17</v>
      </c>
      <c r="Q386" s="1">
        <f>C386/$C$434</f>
        <v>0</v>
      </c>
      <c r="R386" s="1">
        <f t="shared" si="75"/>
        <v>0</v>
      </c>
      <c r="S386" s="1">
        <f t="shared" si="79"/>
        <v>0</v>
      </c>
      <c r="T386" s="1">
        <f t="shared" si="80"/>
        <v>0</v>
      </c>
      <c r="U386" s="1">
        <f t="shared" si="81"/>
        <v>0</v>
      </c>
      <c r="V386" s="1">
        <f t="shared" si="82"/>
        <v>0</v>
      </c>
      <c r="W386" s="1">
        <f t="shared" si="83"/>
        <v>0</v>
      </c>
      <c r="X386" s="1">
        <f t="shared" si="84"/>
        <v>9.0821668981728814E-4</v>
      </c>
      <c r="Y386" s="1">
        <f t="shared" si="85"/>
        <v>0</v>
      </c>
      <c r="Z386" s="1">
        <f t="shared" si="76"/>
        <v>0</v>
      </c>
      <c r="AA386" s="1">
        <f t="shared" si="72"/>
        <v>0</v>
      </c>
      <c r="AB386" s="1">
        <f t="shared" si="73"/>
        <v>0</v>
      </c>
      <c r="AC386" s="1">
        <f t="shared" si="74"/>
        <v>4.4773131906914028E-5</v>
      </c>
      <c r="AD386" s="1" t="str">
        <f t="shared" si="77"/>
        <v>M LEBAS</v>
      </c>
      <c r="AE386" s="1" t="str">
        <f t="shared" si="78"/>
        <v>9133</v>
      </c>
      <c r="AF386" s="3">
        <f>Q386*Feuil2!$B$3</f>
        <v>0</v>
      </c>
      <c r="AG386" s="3">
        <f>R386*Feuil2!$C$3</f>
        <v>0</v>
      </c>
      <c r="AH386" s="3">
        <f>S386*Feuil2!$D$3</f>
        <v>0</v>
      </c>
      <c r="AI386" s="3">
        <f>T386*Feuil2!$E$2</f>
        <v>0</v>
      </c>
      <c r="AJ386" s="3">
        <f>U386*Feuil2!$F$3</f>
        <v>0</v>
      </c>
      <c r="AK386" s="3">
        <f>V386*Feuil2!$G$3</f>
        <v>0</v>
      </c>
      <c r="AL386" s="3">
        <f>W386*Feuil2!$H$3</f>
        <v>0</v>
      </c>
      <c r="AM386" s="3">
        <f>X386*Feuil2!$I$2</f>
        <v>19.40132492787691</v>
      </c>
      <c r="AN386" s="3">
        <f>Y386*Feuil2!$J$3</f>
        <v>0</v>
      </c>
      <c r="AO386" s="3">
        <f>Z386*Feuil2!$K$3</f>
        <v>0</v>
      </c>
      <c r="AP386" s="3">
        <f>AA386*Feuil2!$L$3</f>
        <v>0</v>
      </c>
      <c r="AQ386" s="3">
        <f>AB386*Feuil2!$M$3</f>
        <v>0</v>
      </c>
      <c r="AR386" s="3">
        <f>AC386*Feuil2!$N$3</f>
        <v>18.745904996681524</v>
      </c>
    </row>
    <row r="387" spans="1:44" x14ac:dyDescent="0.35">
      <c r="A387" t="s">
        <v>761</v>
      </c>
      <c r="B387" t="s">
        <v>762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17</v>
      </c>
      <c r="K387">
        <v>0</v>
      </c>
      <c r="L387">
        <v>0</v>
      </c>
      <c r="M387">
        <v>0</v>
      </c>
      <c r="N387">
        <v>0</v>
      </c>
      <c r="O387">
        <v>17</v>
      </c>
      <c r="Q387" s="1">
        <f>C387/$C$434</f>
        <v>0</v>
      </c>
      <c r="R387" s="1">
        <f t="shared" si="75"/>
        <v>0</v>
      </c>
      <c r="S387" s="1">
        <f t="shared" si="79"/>
        <v>0</v>
      </c>
      <c r="T387" s="1">
        <f t="shared" si="80"/>
        <v>0</v>
      </c>
      <c r="U387" s="1">
        <f t="shared" si="81"/>
        <v>0</v>
      </c>
      <c r="V387" s="1">
        <f t="shared" si="82"/>
        <v>0</v>
      </c>
      <c r="W387" s="1">
        <f t="shared" si="83"/>
        <v>0</v>
      </c>
      <c r="X387" s="1">
        <f t="shared" si="84"/>
        <v>9.0821668981728814E-4</v>
      </c>
      <c r="Y387" s="1">
        <f t="shared" si="85"/>
        <v>0</v>
      </c>
      <c r="Z387" s="1">
        <f t="shared" si="76"/>
        <v>0</v>
      </c>
      <c r="AA387" s="1">
        <f t="shared" ref="AA387:AA434" si="86">M387/M$434</f>
        <v>0</v>
      </c>
      <c r="AB387" s="1">
        <f t="shared" ref="AB387:AB434" si="87">N387/N$434</f>
        <v>0</v>
      </c>
      <c r="AC387" s="1">
        <f t="shared" ref="AC387:AC434" si="88">O387/O$434</f>
        <v>4.4773131906914028E-5</v>
      </c>
      <c r="AD387" s="1" t="str">
        <f t="shared" si="77"/>
        <v>MARIE Jeremy</v>
      </c>
      <c r="AE387" s="1" t="str">
        <f t="shared" si="78"/>
        <v>9700</v>
      </c>
      <c r="AF387" s="3">
        <f>Q387*Feuil2!$B$3</f>
        <v>0</v>
      </c>
      <c r="AG387" s="3">
        <f>R387*Feuil2!$C$3</f>
        <v>0</v>
      </c>
      <c r="AH387" s="3">
        <f>S387*Feuil2!$D$3</f>
        <v>0</v>
      </c>
      <c r="AI387" s="3">
        <f>T387*Feuil2!$E$2</f>
        <v>0</v>
      </c>
      <c r="AJ387" s="3">
        <f>U387*Feuil2!$F$3</f>
        <v>0</v>
      </c>
      <c r="AK387" s="3">
        <f>V387*Feuil2!$G$3</f>
        <v>0</v>
      </c>
      <c r="AL387" s="3">
        <f>W387*Feuil2!$H$3</f>
        <v>0</v>
      </c>
      <c r="AM387" s="3">
        <f>X387*Feuil2!$I$2</f>
        <v>19.40132492787691</v>
      </c>
      <c r="AN387" s="3">
        <f>Y387*Feuil2!$J$3</f>
        <v>0</v>
      </c>
      <c r="AO387" s="3">
        <f>Z387*Feuil2!$K$3</f>
        <v>0</v>
      </c>
      <c r="AP387" s="3">
        <f>AA387*Feuil2!$L$3</f>
        <v>0</v>
      </c>
      <c r="AQ387" s="3">
        <f>AB387*Feuil2!$M$3</f>
        <v>0</v>
      </c>
      <c r="AR387" s="3">
        <f>AC387*Feuil2!$N$3</f>
        <v>18.745904996681524</v>
      </c>
    </row>
    <row r="388" spans="1:44" x14ac:dyDescent="0.35">
      <c r="A388" t="s">
        <v>763</v>
      </c>
      <c r="B388" t="s">
        <v>764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17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17</v>
      </c>
      <c r="Q388" s="1">
        <f>C388/$C$434</f>
        <v>0</v>
      </c>
      <c r="R388" s="1">
        <f t="shared" ref="R388:R434" si="89">D388/D$434</f>
        <v>0</v>
      </c>
      <c r="S388" s="1">
        <f t="shared" si="79"/>
        <v>0</v>
      </c>
      <c r="T388" s="1">
        <f t="shared" si="80"/>
        <v>0</v>
      </c>
      <c r="U388" s="1">
        <f t="shared" si="81"/>
        <v>0</v>
      </c>
      <c r="V388" s="1">
        <f t="shared" si="82"/>
        <v>0</v>
      </c>
      <c r="W388" s="1">
        <f t="shared" si="83"/>
        <v>3.8067087643871197E-4</v>
      </c>
      <c r="X388" s="1">
        <f t="shared" si="84"/>
        <v>0</v>
      </c>
      <c r="Y388" s="1">
        <f t="shared" si="85"/>
        <v>0</v>
      </c>
      <c r="Z388" s="1">
        <f t="shared" ref="Z388:Z434" si="90">L388/L$434</f>
        <v>0</v>
      </c>
      <c r="AA388" s="1">
        <f t="shared" si="86"/>
        <v>0</v>
      </c>
      <c r="AB388" s="1">
        <f t="shared" si="87"/>
        <v>0</v>
      </c>
      <c r="AC388" s="1">
        <f t="shared" si="88"/>
        <v>4.4773131906914028E-5</v>
      </c>
      <c r="AD388" s="1" t="str">
        <f t="shared" ref="AD388:AD435" si="91">A388</f>
        <v>SLS AUTOMOBILES</v>
      </c>
      <c r="AE388" s="1" t="str">
        <f t="shared" ref="AE388:AE435" si="92">B388</f>
        <v>137078</v>
      </c>
      <c r="AF388" s="3">
        <f>Q388*Feuil2!$B$3</f>
        <v>0</v>
      </c>
      <c r="AG388" s="3">
        <f>R388*Feuil2!$C$3</f>
        <v>0</v>
      </c>
      <c r="AH388" s="3">
        <f>S388*Feuil2!$D$3</f>
        <v>0</v>
      </c>
      <c r="AI388" s="3">
        <f>T388*Feuil2!$E$2</f>
        <v>0</v>
      </c>
      <c r="AJ388" s="3">
        <f>U388*Feuil2!$F$3</f>
        <v>0</v>
      </c>
      <c r="AK388" s="3">
        <f>V388*Feuil2!$G$3</f>
        <v>0</v>
      </c>
      <c r="AL388" s="3">
        <f>W388*Feuil2!$H$3</f>
        <v>13.840233776702943</v>
      </c>
      <c r="AM388" s="3">
        <f>X388*Feuil2!$I$2</f>
        <v>0</v>
      </c>
      <c r="AN388" s="3">
        <f>Y388*Feuil2!$J$3</f>
        <v>0</v>
      </c>
      <c r="AO388" s="3">
        <f>Z388*Feuil2!$K$3</f>
        <v>0</v>
      </c>
      <c r="AP388" s="3">
        <f>AA388*Feuil2!$L$3</f>
        <v>0</v>
      </c>
      <c r="AQ388" s="3">
        <f>AB388*Feuil2!$M$3</f>
        <v>0</v>
      </c>
      <c r="AR388" s="3">
        <f>AC388*Feuil2!$N$3</f>
        <v>18.745904996681524</v>
      </c>
    </row>
    <row r="389" spans="1:44" x14ac:dyDescent="0.35">
      <c r="A389" t="s">
        <v>765</v>
      </c>
      <c r="B389" t="s">
        <v>766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16</v>
      </c>
      <c r="L389">
        <v>0</v>
      </c>
      <c r="M389">
        <v>0</v>
      </c>
      <c r="N389">
        <v>0</v>
      </c>
      <c r="O389">
        <v>16</v>
      </c>
      <c r="Q389" s="1">
        <f>C389/$C$434</f>
        <v>0</v>
      </c>
      <c r="R389" s="1">
        <f t="shared" si="89"/>
        <v>0</v>
      </c>
      <c r="S389" s="1">
        <f t="shared" si="79"/>
        <v>0</v>
      </c>
      <c r="T389" s="1">
        <f t="shared" si="80"/>
        <v>0</v>
      </c>
      <c r="U389" s="1">
        <f t="shared" si="81"/>
        <v>0</v>
      </c>
      <c r="V389" s="1">
        <f t="shared" si="82"/>
        <v>0</v>
      </c>
      <c r="W389" s="1">
        <f t="shared" si="83"/>
        <v>0</v>
      </c>
      <c r="X389" s="1">
        <f t="shared" si="84"/>
        <v>0</v>
      </c>
      <c r="Y389" s="1">
        <f t="shared" si="85"/>
        <v>4.0948992910705602E-4</v>
      </c>
      <c r="Z389" s="1">
        <f t="shared" si="90"/>
        <v>0</v>
      </c>
      <c r="AA389" s="1">
        <f t="shared" si="86"/>
        <v>0</v>
      </c>
      <c r="AB389" s="1">
        <f t="shared" si="87"/>
        <v>0</v>
      </c>
      <c r="AC389" s="1">
        <f t="shared" si="88"/>
        <v>4.2139418265330849E-5</v>
      </c>
      <c r="AD389" s="1" t="str">
        <f t="shared" si="91"/>
        <v>AMBO</v>
      </c>
      <c r="AE389" s="1" t="str">
        <f t="shared" si="92"/>
        <v>3305</v>
      </c>
      <c r="AF389" s="3">
        <f>Q389*Feuil2!$B$3</f>
        <v>0</v>
      </c>
      <c r="AG389" s="3">
        <f>R389*Feuil2!$C$3</f>
        <v>0</v>
      </c>
      <c r="AH389" s="3">
        <f>S389*Feuil2!$D$3</f>
        <v>0</v>
      </c>
      <c r="AI389" s="3">
        <f>T389*Feuil2!$E$2</f>
        <v>0</v>
      </c>
      <c r="AJ389" s="3">
        <f>U389*Feuil2!$F$3</f>
        <v>0</v>
      </c>
      <c r="AK389" s="3">
        <f>V389*Feuil2!$G$3</f>
        <v>0</v>
      </c>
      <c r="AL389" s="3">
        <f>W389*Feuil2!$H$3</f>
        <v>0</v>
      </c>
      <c r="AM389" s="3">
        <f>X389*Feuil2!$I$2</f>
        <v>0</v>
      </c>
      <c r="AN389" s="3">
        <f>Y389*Feuil2!$J$3</f>
        <v>17.302112456171784</v>
      </c>
      <c r="AO389" s="3">
        <f>Z389*Feuil2!$K$3</f>
        <v>0</v>
      </c>
      <c r="AP389" s="3">
        <f>AA389*Feuil2!$L$3</f>
        <v>0</v>
      </c>
      <c r="AQ389" s="3">
        <f>AB389*Feuil2!$M$3</f>
        <v>0</v>
      </c>
      <c r="AR389" s="3">
        <f>AC389*Feuil2!$N$3</f>
        <v>17.643204702759082</v>
      </c>
    </row>
    <row r="390" spans="1:44" x14ac:dyDescent="0.35">
      <c r="A390" t="s">
        <v>767</v>
      </c>
      <c r="B390" t="s">
        <v>768</v>
      </c>
      <c r="C390">
        <v>0</v>
      </c>
      <c r="D390">
        <v>0</v>
      </c>
      <c r="E390">
        <v>0</v>
      </c>
      <c r="F390">
        <v>0</v>
      </c>
      <c r="G390">
        <v>16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16</v>
      </c>
      <c r="Q390" s="1">
        <f>C390/$C$434</f>
        <v>0</v>
      </c>
      <c r="R390" s="1">
        <f t="shared" si="89"/>
        <v>0</v>
      </c>
      <c r="S390" s="1">
        <f t="shared" si="79"/>
        <v>0</v>
      </c>
      <c r="T390" s="1">
        <f t="shared" si="80"/>
        <v>0</v>
      </c>
      <c r="U390" s="1">
        <f t="shared" si="81"/>
        <v>7.6270378491753265E-4</v>
      </c>
      <c r="V390" s="1">
        <f t="shared" si="82"/>
        <v>0</v>
      </c>
      <c r="W390" s="1">
        <f t="shared" si="83"/>
        <v>0</v>
      </c>
      <c r="X390" s="1">
        <f t="shared" si="84"/>
        <v>0</v>
      </c>
      <c r="Y390" s="1">
        <f t="shared" si="85"/>
        <v>0</v>
      </c>
      <c r="Z390" s="1">
        <f t="shared" si="90"/>
        <v>0</v>
      </c>
      <c r="AA390" s="1">
        <f t="shared" si="86"/>
        <v>0</v>
      </c>
      <c r="AB390" s="1">
        <f t="shared" si="87"/>
        <v>0</v>
      </c>
      <c r="AC390" s="1">
        <f t="shared" si="88"/>
        <v>4.2139418265330849E-5</v>
      </c>
      <c r="AD390" s="1" t="str">
        <f t="shared" si="91"/>
        <v>AUTO CAMPING CAR SERVICE</v>
      </c>
      <c r="AE390" s="1" t="str">
        <f t="shared" si="92"/>
        <v>3155</v>
      </c>
      <c r="AF390" s="3">
        <f>Q390*Feuil2!$B$3</f>
        <v>0</v>
      </c>
      <c r="AG390" s="3">
        <f>R390*Feuil2!$C$3</f>
        <v>0</v>
      </c>
      <c r="AH390" s="3">
        <f>S390*Feuil2!$D$3</f>
        <v>0</v>
      </c>
      <c r="AI390" s="3">
        <f>T390*Feuil2!$E$2</f>
        <v>0</v>
      </c>
      <c r="AJ390" s="3">
        <f>U390*Feuil2!$F$3</f>
        <v>19.485861378587092</v>
      </c>
      <c r="AK390" s="3">
        <f>V390*Feuil2!$G$3</f>
        <v>0</v>
      </c>
      <c r="AL390" s="3">
        <f>W390*Feuil2!$H$3</f>
        <v>0</v>
      </c>
      <c r="AM390" s="3">
        <f>X390*Feuil2!$I$2</f>
        <v>0</v>
      </c>
      <c r="AN390" s="3">
        <f>Y390*Feuil2!$J$3</f>
        <v>0</v>
      </c>
      <c r="AO390" s="3">
        <f>Z390*Feuil2!$K$3</f>
        <v>0</v>
      </c>
      <c r="AP390" s="3">
        <f>AA390*Feuil2!$L$3</f>
        <v>0</v>
      </c>
      <c r="AQ390" s="3">
        <f>AB390*Feuil2!$M$3</f>
        <v>0</v>
      </c>
      <c r="AR390" s="3">
        <f>AC390*Feuil2!$N$3</f>
        <v>17.643204702759082</v>
      </c>
    </row>
    <row r="391" spans="1:44" x14ac:dyDescent="0.35">
      <c r="A391" t="s">
        <v>769</v>
      </c>
      <c r="B391" t="s">
        <v>770</v>
      </c>
      <c r="C391">
        <v>0</v>
      </c>
      <c r="D391">
        <v>16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16</v>
      </c>
      <c r="Q391" s="1">
        <f>C391/$C$434</f>
        <v>0</v>
      </c>
      <c r="R391" s="1">
        <f t="shared" si="89"/>
        <v>6.7447938622375856E-4</v>
      </c>
      <c r="S391" s="1">
        <f t="shared" si="79"/>
        <v>0</v>
      </c>
      <c r="T391" s="1">
        <f t="shared" si="80"/>
        <v>0</v>
      </c>
      <c r="U391" s="1">
        <f t="shared" si="81"/>
        <v>0</v>
      </c>
      <c r="V391" s="1">
        <f t="shared" si="82"/>
        <v>0</v>
      </c>
      <c r="W391" s="1">
        <f t="shared" si="83"/>
        <v>0</v>
      </c>
      <c r="X391" s="1">
        <f t="shared" si="84"/>
        <v>0</v>
      </c>
      <c r="Y391" s="1">
        <f t="shared" si="85"/>
        <v>0</v>
      </c>
      <c r="Z391" s="1">
        <f t="shared" si="90"/>
        <v>0</v>
      </c>
      <c r="AA391" s="1">
        <f t="shared" si="86"/>
        <v>0</v>
      </c>
      <c r="AB391" s="1">
        <f t="shared" si="87"/>
        <v>0</v>
      </c>
      <c r="AC391" s="1">
        <f t="shared" si="88"/>
        <v>4.2139418265330849E-5</v>
      </c>
      <c r="AD391" s="1" t="str">
        <f t="shared" si="91"/>
        <v>PBA</v>
      </c>
      <c r="AE391" s="1" t="str">
        <f t="shared" si="92"/>
        <v>5462</v>
      </c>
      <c r="AF391" s="3">
        <f>Q391*Feuil2!$B$3</f>
        <v>0</v>
      </c>
      <c r="AG391" s="3">
        <f>R391*Feuil2!$C$3</f>
        <v>23.859654329314559</v>
      </c>
      <c r="AH391" s="3">
        <f>S391*Feuil2!$D$3</f>
        <v>0</v>
      </c>
      <c r="AI391" s="3">
        <f>T391*Feuil2!$E$2</f>
        <v>0</v>
      </c>
      <c r="AJ391" s="3">
        <f>U391*Feuil2!$F$3</f>
        <v>0</v>
      </c>
      <c r="AK391" s="3">
        <f>V391*Feuil2!$G$3</f>
        <v>0</v>
      </c>
      <c r="AL391" s="3">
        <f>W391*Feuil2!$H$3</f>
        <v>0</v>
      </c>
      <c r="AM391" s="3">
        <f>X391*Feuil2!$I$2</f>
        <v>0</v>
      </c>
      <c r="AN391" s="3">
        <f>Y391*Feuil2!$J$3</f>
        <v>0</v>
      </c>
      <c r="AO391" s="3">
        <f>Z391*Feuil2!$K$3</f>
        <v>0</v>
      </c>
      <c r="AP391" s="3">
        <f>AA391*Feuil2!$L$3</f>
        <v>0</v>
      </c>
      <c r="AQ391" s="3">
        <f>AB391*Feuil2!$M$3</f>
        <v>0</v>
      </c>
      <c r="AR391" s="3">
        <f>AC391*Feuil2!$N$3</f>
        <v>17.643204702759082</v>
      </c>
    </row>
    <row r="392" spans="1:44" x14ac:dyDescent="0.35">
      <c r="A392" t="s">
        <v>771</v>
      </c>
      <c r="B392" t="s">
        <v>772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16</v>
      </c>
      <c r="M392">
        <v>0</v>
      </c>
      <c r="N392">
        <v>0</v>
      </c>
      <c r="O392">
        <v>16</v>
      </c>
      <c r="Q392" s="1">
        <f>C392/$C$434</f>
        <v>0</v>
      </c>
      <c r="R392" s="1">
        <f t="shared" si="89"/>
        <v>0</v>
      </c>
      <c r="S392" s="1">
        <f t="shared" si="79"/>
        <v>0</v>
      </c>
      <c r="T392" s="1">
        <f t="shared" si="80"/>
        <v>0</v>
      </c>
      <c r="U392" s="1">
        <f t="shared" si="81"/>
        <v>0</v>
      </c>
      <c r="V392" s="1">
        <f t="shared" si="82"/>
        <v>0</v>
      </c>
      <c r="W392" s="1">
        <f t="shared" si="83"/>
        <v>0</v>
      </c>
      <c r="X392" s="1">
        <f t="shared" si="84"/>
        <v>0</v>
      </c>
      <c r="Y392" s="1">
        <f t="shared" si="85"/>
        <v>0</v>
      </c>
      <c r="Z392" s="1">
        <f t="shared" si="90"/>
        <v>4.0600893219650832E-4</v>
      </c>
      <c r="AA392" s="1">
        <f t="shared" si="86"/>
        <v>0</v>
      </c>
      <c r="AB392" s="1">
        <f t="shared" si="87"/>
        <v>0</v>
      </c>
      <c r="AC392" s="1">
        <f t="shared" si="88"/>
        <v>4.2139418265330849E-5</v>
      </c>
      <c r="AD392" s="1" t="str">
        <f t="shared" si="91"/>
        <v>SAS GERARD</v>
      </c>
      <c r="AE392" s="1" t="str">
        <f t="shared" si="92"/>
        <v>3713</v>
      </c>
      <c r="AF392" s="3">
        <f>Q392*Feuil2!$B$3</f>
        <v>0</v>
      </c>
      <c r="AG392" s="3">
        <f>R392*Feuil2!$C$3</f>
        <v>0</v>
      </c>
      <c r="AH392" s="3">
        <f>S392*Feuil2!$D$3</f>
        <v>0</v>
      </c>
      <c r="AI392" s="3">
        <f>T392*Feuil2!$E$2</f>
        <v>0</v>
      </c>
      <c r="AJ392" s="3">
        <f>U392*Feuil2!$F$3</f>
        <v>0</v>
      </c>
      <c r="AK392" s="3">
        <f>V392*Feuil2!$G$3</f>
        <v>0</v>
      </c>
      <c r="AL392" s="3">
        <f>W392*Feuil2!$H$3</f>
        <v>0</v>
      </c>
      <c r="AM392" s="3">
        <f>X392*Feuil2!$I$2</f>
        <v>0</v>
      </c>
      <c r="AN392" s="3">
        <f>Y392*Feuil2!$J$3</f>
        <v>0</v>
      </c>
      <c r="AO392" s="3">
        <f>Z392*Feuil2!$K$3</f>
        <v>16.357174177831912</v>
      </c>
      <c r="AP392" s="3">
        <f>AA392*Feuil2!$L$3</f>
        <v>0</v>
      </c>
      <c r="AQ392" s="3">
        <f>AB392*Feuil2!$M$3</f>
        <v>0</v>
      </c>
      <c r="AR392" s="3">
        <f>AC392*Feuil2!$N$3</f>
        <v>17.643204702759082</v>
      </c>
    </row>
    <row r="393" spans="1:44" x14ac:dyDescent="0.35">
      <c r="A393" t="s">
        <v>72</v>
      </c>
      <c r="B393" t="s">
        <v>773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15</v>
      </c>
      <c r="L393">
        <v>0</v>
      </c>
      <c r="M393">
        <v>0</v>
      </c>
      <c r="N393">
        <v>0</v>
      </c>
      <c r="O393">
        <v>15</v>
      </c>
      <c r="Q393" s="1">
        <f>C393/$C$434</f>
        <v>0</v>
      </c>
      <c r="R393" s="1">
        <f t="shared" si="89"/>
        <v>0</v>
      </c>
      <c r="S393" s="1">
        <f t="shared" si="79"/>
        <v>0</v>
      </c>
      <c r="T393" s="1">
        <f t="shared" si="80"/>
        <v>0</v>
      </c>
      <c r="U393" s="1">
        <f t="shared" si="81"/>
        <v>0</v>
      </c>
      <c r="V393" s="1">
        <f t="shared" si="82"/>
        <v>0</v>
      </c>
      <c r="W393" s="1">
        <f t="shared" si="83"/>
        <v>0</v>
      </c>
      <c r="X393" s="1">
        <f t="shared" si="84"/>
        <v>0</v>
      </c>
      <c r="Y393" s="1">
        <f t="shared" si="85"/>
        <v>3.8389680853786502E-4</v>
      </c>
      <c r="Z393" s="1">
        <f t="shared" si="90"/>
        <v>0</v>
      </c>
      <c r="AA393" s="1">
        <f t="shared" si="86"/>
        <v>0</v>
      </c>
      <c r="AB393" s="1">
        <f t="shared" si="87"/>
        <v>0</v>
      </c>
      <c r="AC393" s="1">
        <f t="shared" si="88"/>
        <v>3.9505704623747671E-5</v>
      </c>
      <c r="AD393" s="1" t="str">
        <f t="shared" si="91"/>
        <v>GRANDE CARROSSERIE DE L ESTUAI</v>
      </c>
      <c r="AE393" s="1" t="str">
        <f t="shared" si="92"/>
        <v>92012</v>
      </c>
      <c r="AF393" s="3">
        <f>Q393*Feuil2!$B$3</f>
        <v>0</v>
      </c>
      <c r="AG393" s="3">
        <f>R393*Feuil2!$C$3</f>
        <v>0</v>
      </c>
      <c r="AH393" s="3">
        <f>S393*Feuil2!$D$3</f>
        <v>0</v>
      </c>
      <c r="AI393" s="3">
        <f>T393*Feuil2!$E$2</f>
        <v>0</v>
      </c>
      <c r="AJ393" s="3">
        <f>U393*Feuil2!$F$3</f>
        <v>0</v>
      </c>
      <c r="AK393" s="3">
        <f>V393*Feuil2!$G$3</f>
        <v>0</v>
      </c>
      <c r="AL393" s="3">
        <f>W393*Feuil2!$H$3</f>
        <v>0</v>
      </c>
      <c r="AM393" s="3">
        <f>X393*Feuil2!$I$2</f>
        <v>0</v>
      </c>
      <c r="AN393" s="3">
        <f>Y393*Feuil2!$J$3</f>
        <v>16.220730427661046</v>
      </c>
      <c r="AO393" s="3">
        <f>Z393*Feuil2!$K$3</f>
        <v>0</v>
      </c>
      <c r="AP393" s="3">
        <f>AA393*Feuil2!$L$3</f>
        <v>0</v>
      </c>
      <c r="AQ393" s="3">
        <f>AB393*Feuil2!$M$3</f>
        <v>0</v>
      </c>
      <c r="AR393" s="3">
        <f>AC393*Feuil2!$N$3</f>
        <v>16.54050440883664</v>
      </c>
    </row>
    <row r="394" spans="1:44" x14ac:dyDescent="0.35">
      <c r="A394" t="s">
        <v>774</v>
      </c>
      <c r="B394" t="s">
        <v>775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15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15</v>
      </c>
      <c r="Q394" s="1">
        <f>C394/$C$434</f>
        <v>0</v>
      </c>
      <c r="R394" s="1">
        <f t="shared" si="89"/>
        <v>0</v>
      </c>
      <c r="S394" s="1">
        <f t="shared" si="79"/>
        <v>0</v>
      </c>
      <c r="T394" s="1">
        <f t="shared" si="80"/>
        <v>0</v>
      </c>
      <c r="U394" s="1">
        <f t="shared" si="81"/>
        <v>0</v>
      </c>
      <c r="V394" s="1">
        <f t="shared" si="82"/>
        <v>5.021256653165065E-4</v>
      </c>
      <c r="W394" s="1">
        <f t="shared" si="83"/>
        <v>0</v>
      </c>
      <c r="X394" s="1">
        <f t="shared" si="84"/>
        <v>0</v>
      </c>
      <c r="Y394" s="1">
        <f t="shared" si="85"/>
        <v>0</v>
      </c>
      <c r="Z394" s="1">
        <f t="shared" si="90"/>
        <v>0</v>
      </c>
      <c r="AA394" s="1">
        <f t="shared" si="86"/>
        <v>0</v>
      </c>
      <c r="AB394" s="1">
        <f t="shared" si="87"/>
        <v>0</v>
      </c>
      <c r="AC394" s="1">
        <f t="shared" si="88"/>
        <v>3.9505704623747671E-5</v>
      </c>
      <c r="AD394" s="1" t="str">
        <f t="shared" si="91"/>
        <v>JC2R COMPOSITES</v>
      </c>
      <c r="AE394" s="1" t="str">
        <f t="shared" si="92"/>
        <v>3585</v>
      </c>
      <c r="AF394" s="3">
        <f>Q394*Feuil2!$B$3</f>
        <v>0</v>
      </c>
      <c r="AG394" s="3">
        <f>R394*Feuil2!$C$3</f>
        <v>0</v>
      </c>
      <c r="AH394" s="3">
        <f>S394*Feuil2!$D$3</f>
        <v>0</v>
      </c>
      <c r="AI394" s="3">
        <f>T394*Feuil2!$E$2</f>
        <v>0</v>
      </c>
      <c r="AJ394" s="3">
        <f>U394*Feuil2!$F$3</f>
        <v>0</v>
      </c>
      <c r="AK394" s="3">
        <f>V394*Feuil2!$G$3</f>
        <v>20.229498209085126</v>
      </c>
      <c r="AL394" s="3">
        <f>W394*Feuil2!$H$3</f>
        <v>0</v>
      </c>
      <c r="AM394" s="3">
        <f>X394*Feuil2!$I$2</f>
        <v>0</v>
      </c>
      <c r="AN394" s="3">
        <f>Y394*Feuil2!$J$3</f>
        <v>0</v>
      </c>
      <c r="AO394" s="3">
        <f>Z394*Feuil2!$K$3</f>
        <v>0</v>
      </c>
      <c r="AP394" s="3">
        <f>AA394*Feuil2!$L$3</f>
        <v>0</v>
      </c>
      <c r="AQ394" s="3">
        <f>AB394*Feuil2!$M$3</f>
        <v>0</v>
      </c>
      <c r="AR394" s="3">
        <f>AC394*Feuil2!$N$3</f>
        <v>16.54050440883664</v>
      </c>
    </row>
    <row r="395" spans="1:44" x14ac:dyDescent="0.35">
      <c r="A395" t="s">
        <v>776</v>
      </c>
      <c r="B395" t="s">
        <v>777</v>
      </c>
      <c r="C395">
        <v>0</v>
      </c>
      <c r="D395">
        <v>0</v>
      </c>
      <c r="E395">
        <v>0</v>
      </c>
      <c r="F395">
        <v>0</v>
      </c>
      <c r="G395">
        <v>15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15</v>
      </c>
      <c r="Q395" s="1">
        <f>C395/$C$434</f>
        <v>0</v>
      </c>
      <c r="R395" s="1">
        <f t="shared" si="89"/>
        <v>0</v>
      </c>
      <c r="S395" s="1">
        <f t="shared" si="79"/>
        <v>0</v>
      </c>
      <c r="T395" s="1">
        <f t="shared" si="80"/>
        <v>0</v>
      </c>
      <c r="U395" s="1">
        <f t="shared" si="81"/>
        <v>7.150347983601869E-4</v>
      </c>
      <c r="V395" s="1">
        <f t="shared" si="82"/>
        <v>0</v>
      </c>
      <c r="W395" s="1">
        <f t="shared" si="83"/>
        <v>0</v>
      </c>
      <c r="X395" s="1">
        <f t="shared" si="84"/>
        <v>0</v>
      </c>
      <c r="Y395" s="1">
        <f t="shared" si="85"/>
        <v>0</v>
      </c>
      <c r="Z395" s="1">
        <f t="shared" si="90"/>
        <v>0</v>
      </c>
      <c r="AA395" s="1">
        <f t="shared" si="86"/>
        <v>0</v>
      </c>
      <c r="AB395" s="1">
        <f t="shared" si="87"/>
        <v>0</v>
      </c>
      <c r="AC395" s="1">
        <f t="shared" si="88"/>
        <v>3.9505704623747671E-5</v>
      </c>
      <c r="AD395" s="1" t="str">
        <f t="shared" si="91"/>
        <v>PORT GUILLAUME AUTO NEGOCE</v>
      </c>
      <c r="AE395" s="1" t="str">
        <f t="shared" si="92"/>
        <v>3641</v>
      </c>
      <c r="AF395" s="3">
        <f>Q395*Feuil2!$B$3</f>
        <v>0</v>
      </c>
      <c r="AG395" s="3">
        <f>R395*Feuil2!$C$3</f>
        <v>0</v>
      </c>
      <c r="AH395" s="3">
        <f>S395*Feuil2!$D$3</f>
        <v>0</v>
      </c>
      <c r="AI395" s="3">
        <f>T395*Feuil2!$E$2</f>
        <v>0</v>
      </c>
      <c r="AJ395" s="3">
        <f>U395*Feuil2!$F$3</f>
        <v>18.267995042425401</v>
      </c>
      <c r="AK395" s="3">
        <f>V395*Feuil2!$G$3</f>
        <v>0</v>
      </c>
      <c r="AL395" s="3">
        <f>W395*Feuil2!$H$3</f>
        <v>0</v>
      </c>
      <c r="AM395" s="3">
        <f>X395*Feuil2!$I$2</f>
        <v>0</v>
      </c>
      <c r="AN395" s="3">
        <f>Y395*Feuil2!$J$3</f>
        <v>0</v>
      </c>
      <c r="AO395" s="3">
        <f>Z395*Feuil2!$K$3</f>
        <v>0</v>
      </c>
      <c r="AP395" s="3">
        <f>AA395*Feuil2!$L$3</f>
        <v>0</v>
      </c>
      <c r="AQ395" s="3">
        <f>AB395*Feuil2!$M$3</f>
        <v>0</v>
      </c>
      <c r="AR395" s="3">
        <f>AC395*Feuil2!$N$3</f>
        <v>16.54050440883664</v>
      </c>
    </row>
    <row r="396" spans="1:44" x14ac:dyDescent="0.35">
      <c r="A396" t="s">
        <v>778</v>
      </c>
      <c r="B396" t="s">
        <v>779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14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14</v>
      </c>
      <c r="Q396" s="1">
        <f>C396/$C$434</f>
        <v>0</v>
      </c>
      <c r="R396" s="1">
        <f t="shared" si="89"/>
        <v>0</v>
      </c>
      <c r="S396" s="1">
        <f t="shared" si="79"/>
        <v>0</v>
      </c>
      <c r="T396" s="1">
        <f t="shared" si="80"/>
        <v>0</v>
      </c>
      <c r="U396" s="1">
        <f t="shared" si="81"/>
        <v>0</v>
      </c>
      <c r="V396" s="1">
        <f t="shared" si="82"/>
        <v>4.6865062096207276E-4</v>
      </c>
      <c r="W396" s="1">
        <f t="shared" si="83"/>
        <v>0</v>
      </c>
      <c r="X396" s="1">
        <f t="shared" si="84"/>
        <v>0</v>
      </c>
      <c r="Y396" s="1">
        <f t="shared" si="85"/>
        <v>0</v>
      </c>
      <c r="Z396" s="1">
        <f t="shared" si="90"/>
        <v>0</v>
      </c>
      <c r="AA396" s="1">
        <f t="shared" si="86"/>
        <v>0</v>
      </c>
      <c r="AB396" s="1">
        <f t="shared" si="87"/>
        <v>0</v>
      </c>
      <c r="AC396" s="1">
        <f t="shared" si="88"/>
        <v>3.6871990982164492E-5</v>
      </c>
      <c r="AD396" s="1" t="str">
        <f t="shared" si="91"/>
        <v>GABAN</v>
      </c>
      <c r="AE396" s="1" t="str">
        <f t="shared" si="92"/>
        <v>5879</v>
      </c>
      <c r="AF396" s="3">
        <f>Q396*Feuil2!$B$3</f>
        <v>0</v>
      </c>
      <c r="AG396" s="3">
        <f>R396*Feuil2!$C$3</f>
        <v>0</v>
      </c>
      <c r="AH396" s="3">
        <f>S396*Feuil2!$D$3</f>
        <v>0</v>
      </c>
      <c r="AI396" s="3">
        <f>T396*Feuil2!$E$2</f>
        <v>0</v>
      </c>
      <c r="AJ396" s="3">
        <f>U396*Feuil2!$F$3</f>
        <v>0</v>
      </c>
      <c r="AK396" s="3">
        <f>V396*Feuil2!$G$3</f>
        <v>18.880864995146119</v>
      </c>
      <c r="AL396" s="3">
        <f>W396*Feuil2!$H$3</f>
        <v>0</v>
      </c>
      <c r="AM396" s="3">
        <f>X396*Feuil2!$I$2</f>
        <v>0</v>
      </c>
      <c r="AN396" s="3">
        <f>Y396*Feuil2!$J$3</f>
        <v>0</v>
      </c>
      <c r="AO396" s="3">
        <f>Z396*Feuil2!$K$3</f>
        <v>0</v>
      </c>
      <c r="AP396" s="3">
        <f>AA396*Feuil2!$L$3</f>
        <v>0</v>
      </c>
      <c r="AQ396" s="3">
        <f>AB396*Feuil2!$M$3</f>
        <v>0</v>
      </c>
      <c r="AR396" s="3">
        <f>AC396*Feuil2!$N$3</f>
        <v>15.437804114914195</v>
      </c>
    </row>
    <row r="397" spans="1:44" x14ac:dyDescent="0.35">
      <c r="A397" t="s">
        <v>780</v>
      </c>
      <c r="B397" t="s">
        <v>781</v>
      </c>
      <c r="C397">
        <v>0</v>
      </c>
      <c r="D397">
        <v>0</v>
      </c>
      <c r="E397">
        <v>0</v>
      </c>
      <c r="F397">
        <v>0</v>
      </c>
      <c r="G397">
        <v>14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Q397" s="1">
        <f>C397/$C$434</f>
        <v>0</v>
      </c>
      <c r="R397" s="1">
        <f t="shared" si="89"/>
        <v>0</v>
      </c>
      <c r="S397" s="1">
        <f t="shared" si="79"/>
        <v>0</v>
      </c>
      <c r="T397" s="1">
        <f t="shared" si="80"/>
        <v>0</v>
      </c>
      <c r="U397" s="1">
        <f t="shared" si="81"/>
        <v>6.6736581180284105E-4</v>
      </c>
      <c r="V397" s="1">
        <f t="shared" si="82"/>
        <v>0</v>
      </c>
      <c r="W397" s="1">
        <f t="shared" si="83"/>
        <v>0</v>
      </c>
      <c r="X397" s="1">
        <f t="shared" si="84"/>
        <v>0</v>
      </c>
      <c r="Y397" s="1">
        <f t="shared" si="85"/>
        <v>0</v>
      </c>
      <c r="Z397" s="1">
        <f t="shared" si="90"/>
        <v>0</v>
      </c>
      <c r="AA397" s="1">
        <f t="shared" si="86"/>
        <v>0</v>
      </c>
      <c r="AB397" s="1">
        <f t="shared" si="87"/>
        <v>0</v>
      </c>
      <c r="AC397" s="1">
        <f t="shared" si="88"/>
        <v>3.6871990982164492E-5</v>
      </c>
      <c r="AD397" s="1" t="str">
        <f t="shared" si="91"/>
        <v>SARL GARAGE DESRAME</v>
      </c>
      <c r="AE397" s="1" t="str">
        <f t="shared" si="92"/>
        <v>6031</v>
      </c>
      <c r="AF397" s="3">
        <f>Q397*Feuil2!$B$3</f>
        <v>0</v>
      </c>
      <c r="AG397" s="3">
        <f>R397*Feuil2!$C$3</f>
        <v>0</v>
      </c>
      <c r="AH397" s="3">
        <f>S397*Feuil2!$D$3</f>
        <v>0</v>
      </c>
      <c r="AI397" s="3">
        <f>T397*Feuil2!$E$2</f>
        <v>0</v>
      </c>
      <c r="AJ397" s="3">
        <f>U397*Feuil2!$F$3</f>
        <v>17.050128706263706</v>
      </c>
      <c r="AK397" s="3">
        <f>V397*Feuil2!$G$3</f>
        <v>0</v>
      </c>
      <c r="AL397" s="3">
        <f>W397*Feuil2!$H$3</f>
        <v>0</v>
      </c>
      <c r="AM397" s="3">
        <f>X397*Feuil2!$I$2</f>
        <v>0</v>
      </c>
      <c r="AN397" s="3">
        <f>Y397*Feuil2!$J$3</f>
        <v>0</v>
      </c>
      <c r="AO397" s="3">
        <f>Z397*Feuil2!$K$3</f>
        <v>0</v>
      </c>
      <c r="AP397" s="3">
        <f>AA397*Feuil2!$L$3</f>
        <v>0</v>
      </c>
      <c r="AQ397" s="3">
        <f>AB397*Feuil2!$M$3</f>
        <v>0</v>
      </c>
      <c r="AR397" s="3">
        <f>AC397*Feuil2!$N$3</f>
        <v>15.437804114914195</v>
      </c>
    </row>
    <row r="398" spans="1:44" x14ac:dyDescent="0.35">
      <c r="A398" t="s">
        <v>782</v>
      </c>
      <c r="B398" t="s">
        <v>783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14</v>
      </c>
      <c r="M398">
        <v>0</v>
      </c>
      <c r="N398">
        <v>0</v>
      </c>
      <c r="O398">
        <v>14</v>
      </c>
      <c r="Q398" s="1">
        <f>C398/$C$434</f>
        <v>0</v>
      </c>
      <c r="R398" s="1">
        <f t="shared" si="89"/>
        <v>0</v>
      </c>
      <c r="S398" s="1">
        <f t="shared" si="79"/>
        <v>0</v>
      </c>
      <c r="T398" s="1">
        <f t="shared" si="80"/>
        <v>0</v>
      </c>
      <c r="U398" s="1">
        <f t="shared" si="81"/>
        <v>0</v>
      </c>
      <c r="V398" s="1">
        <f t="shared" si="82"/>
        <v>0</v>
      </c>
      <c r="W398" s="1">
        <f t="shared" si="83"/>
        <v>0</v>
      </c>
      <c r="X398" s="1">
        <f t="shared" si="84"/>
        <v>0</v>
      </c>
      <c r="Y398" s="1">
        <f t="shared" si="85"/>
        <v>0</v>
      </c>
      <c r="Z398" s="1">
        <f t="shared" si="90"/>
        <v>3.552578156719448E-4</v>
      </c>
      <c r="AA398" s="1">
        <f t="shared" si="86"/>
        <v>0</v>
      </c>
      <c r="AB398" s="1">
        <f t="shared" si="87"/>
        <v>0</v>
      </c>
      <c r="AC398" s="1">
        <f t="shared" si="88"/>
        <v>3.6871990982164492E-5</v>
      </c>
      <c r="AD398" s="1" t="str">
        <f t="shared" si="91"/>
        <v>SOBAIE SITE DE GRANVILLE</v>
      </c>
      <c r="AE398" s="1" t="str">
        <f t="shared" si="92"/>
        <v>2495</v>
      </c>
      <c r="AF398" s="3">
        <f>Q398*Feuil2!$B$3</f>
        <v>0</v>
      </c>
      <c r="AG398" s="3">
        <f>R398*Feuil2!$C$3</f>
        <v>0</v>
      </c>
      <c r="AH398" s="3">
        <f>S398*Feuil2!$D$3</f>
        <v>0</v>
      </c>
      <c r="AI398" s="3">
        <f>T398*Feuil2!$E$2</f>
        <v>0</v>
      </c>
      <c r="AJ398" s="3">
        <f>U398*Feuil2!$F$3</f>
        <v>0</v>
      </c>
      <c r="AK398" s="3">
        <f>V398*Feuil2!$G$3</f>
        <v>0</v>
      </c>
      <c r="AL398" s="3">
        <f>W398*Feuil2!$H$3</f>
        <v>0</v>
      </c>
      <c r="AM398" s="3">
        <f>X398*Feuil2!$I$2</f>
        <v>0</v>
      </c>
      <c r="AN398" s="3">
        <f>Y398*Feuil2!$J$3</f>
        <v>0</v>
      </c>
      <c r="AO398" s="3">
        <f>Z398*Feuil2!$K$3</f>
        <v>14.312527405602925</v>
      </c>
      <c r="AP398" s="3">
        <f>AA398*Feuil2!$L$3</f>
        <v>0</v>
      </c>
      <c r="AQ398" s="3">
        <f>AB398*Feuil2!$M$3</f>
        <v>0</v>
      </c>
      <c r="AR398" s="3">
        <f>AC398*Feuil2!$N$3</f>
        <v>15.437804114914195</v>
      </c>
    </row>
    <row r="399" spans="1:44" x14ac:dyDescent="0.35">
      <c r="A399" t="s">
        <v>784</v>
      </c>
      <c r="B399" t="s">
        <v>762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14</v>
      </c>
      <c r="N399">
        <v>0</v>
      </c>
      <c r="O399">
        <v>14</v>
      </c>
      <c r="Q399" s="1">
        <f>C399/$C$434</f>
        <v>0</v>
      </c>
      <c r="R399" s="1">
        <f t="shared" si="89"/>
        <v>0</v>
      </c>
      <c r="S399" s="1">
        <f t="shared" si="79"/>
        <v>0</v>
      </c>
      <c r="T399" s="1">
        <f t="shared" si="80"/>
        <v>0</v>
      </c>
      <c r="U399" s="1">
        <f t="shared" si="81"/>
        <v>0</v>
      </c>
      <c r="V399" s="1">
        <f t="shared" si="82"/>
        <v>0</v>
      </c>
      <c r="W399" s="1">
        <f t="shared" si="83"/>
        <v>0</v>
      </c>
      <c r="X399" s="1">
        <f t="shared" si="84"/>
        <v>0</v>
      </c>
      <c r="Y399" s="1">
        <f t="shared" si="85"/>
        <v>0</v>
      </c>
      <c r="Z399" s="1">
        <f t="shared" si="90"/>
        <v>0</v>
      </c>
      <c r="AA399" s="1">
        <f t="shared" si="86"/>
        <v>3.5049946173296951E-4</v>
      </c>
      <c r="AB399" s="1">
        <f t="shared" si="87"/>
        <v>0</v>
      </c>
      <c r="AC399" s="1">
        <f t="shared" si="88"/>
        <v>3.6871990982164492E-5</v>
      </c>
      <c r="AD399" s="1" t="str">
        <f t="shared" si="91"/>
        <v>Taclet</v>
      </c>
      <c r="AE399" s="1" t="str">
        <f t="shared" si="92"/>
        <v>9700</v>
      </c>
      <c r="AF399" s="3">
        <f>Q399*Feuil2!$B$3</f>
        <v>0</v>
      </c>
      <c r="AG399" s="3">
        <f>R399*Feuil2!$C$3</f>
        <v>0</v>
      </c>
      <c r="AH399" s="3">
        <f>S399*Feuil2!$D$3</f>
        <v>0</v>
      </c>
      <c r="AI399" s="3">
        <f>T399*Feuil2!$E$2</f>
        <v>0</v>
      </c>
      <c r="AJ399" s="3">
        <f>U399*Feuil2!$F$3</f>
        <v>0</v>
      </c>
      <c r="AK399" s="3">
        <f>V399*Feuil2!$G$3</f>
        <v>0</v>
      </c>
      <c r="AL399" s="3">
        <f>W399*Feuil2!$H$3</f>
        <v>0</v>
      </c>
      <c r="AM399" s="3">
        <f>X399*Feuil2!$I$2</f>
        <v>0</v>
      </c>
      <c r="AN399" s="3">
        <f>Y399*Feuil2!$J$3</f>
        <v>0</v>
      </c>
      <c r="AO399" s="3">
        <f>Z399*Feuil2!$K$3</f>
        <v>0</v>
      </c>
      <c r="AP399" s="3">
        <f>AA399*Feuil2!$L$3</f>
        <v>12.743277169967206</v>
      </c>
      <c r="AQ399" s="3">
        <f>AB399*Feuil2!$M$3</f>
        <v>0</v>
      </c>
      <c r="AR399" s="3">
        <f>AC399*Feuil2!$N$3</f>
        <v>15.437804114914195</v>
      </c>
    </row>
    <row r="400" spans="1:44" x14ac:dyDescent="0.35">
      <c r="A400" t="s">
        <v>785</v>
      </c>
      <c r="B400" t="s">
        <v>786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13</v>
      </c>
      <c r="N400">
        <v>0</v>
      </c>
      <c r="O400">
        <v>13</v>
      </c>
      <c r="Q400" s="1">
        <f>C400/$C$434</f>
        <v>0</v>
      </c>
      <c r="R400" s="1">
        <f t="shared" si="89"/>
        <v>0</v>
      </c>
      <c r="S400" s="1">
        <f t="shared" si="79"/>
        <v>0</v>
      </c>
      <c r="T400" s="1">
        <f t="shared" si="80"/>
        <v>0</v>
      </c>
      <c r="U400" s="1">
        <f t="shared" si="81"/>
        <v>0</v>
      </c>
      <c r="V400" s="1">
        <f t="shared" si="82"/>
        <v>0</v>
      </c>
      <c r="W400" s="1">
        <f t="shared" si="83"/>
        <v>0</v>
      </c>
      <c r="X400" s="1">
        <f t="shared" si="84"/>
        <v>0</v>
      </c>
      <c r="Y400" s="1">
        <f t="shared" si="85"/>
        <v>0</v>
      </c>
      <c r="Z400" s="1">
        <f t="shared" si="90"/>
        <v>0</v>
      </c>
      <c r="AA400" s="1">
        <f t="shared" si="86"/>
        <v>3.2546378589490022E-4</v>
      </c>
      <c r="AB400" s="1">
        <f t="shared" si="87"/>
        <v>0</v>
      </c>
      <c r="AC400" s="1">
        <f t="shared" si="88"/>
        <v>3.4238277340581314E-5</v>
      </c>
      <c r="AD400" s="1" t="str">
        <f t="shared" si="91"/>
        <v>CALVADOS COLIS</v>
      </c>
      <c r="AE400" s="1" t="str">
        <f t="shared" si="92"/>
        <v>3485</v>
      </c>
      <c r="AF400" s="3">
        <f>Q400*Feuil2!$B$3</f>
        <v>0</v>
      </c>
      <c r="AG400" s="3">
        <f>R400*Feuil2!$C$3</f>
        <v>0</v>
      </c>
      <c r="AH400" s="3">
        <f>S400*Feuil2!$D$3</f>
        <v>0</v>
      </c>
      <c r="AI400" s="3">
        <f>T400*Feuil2!$E$2</f>
        <v>0</v>
      </c>
      <c r="AJ400" s="3">
        <f>U400*Feuil2!$F$3</f>
        <v>0</v>
      </c>
      <c r="AK400" s="3">
        <f>V400*Feuil2!$G$3</f>
        <v>0</v>
      </c>
      <c r="AL400" s="3">
        <f>W400*Feuil2!$H$3</f>
        <v>0</v>
      </c>
      <c r="AM400" s="3">
        <f>X400*Feuil2!$I$2</f>
        <v>0</v>
      </c>
      <c r="AN400" s="3">
        <f>Y400*Feuil2!$J$3</f>
        <v>0</v>
      </c>
      <c r="AO400" s="3">
        <f>Z400*Feuil2!$K$3</f>
        <v>0</v>
      </c>
      <c r="AP400" s="3">
        <f>AA400*Feuil2!$L$3</f>
        <v>11.833043086398117</v>
      </c>
      <c r="AQ400" s="3">
        <f>AB400*Feuil2!$M$3</f>
        <v>0</v>
      </c>
      <c r="AR400" s="3">
        <f>AC400*Feuil2!$N$3</f>
        <v>14.335103820991753</v>
      </c>
    </row>
    <row r="401" spans="1:44" x14ac:dyDescent="0.35">
      <c r="A401" t="s">
        <v>787</v>
      </c>
      <c r="B401" t="s">
        <v>719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13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13</v>
      </c>
      <c r="Q401" s="1">
        <f>C401/$C$434</f>
        <v>0</v>
      </c>
      <c r="R401" s="1">
        <f t="shared" si="89"/>
        <v>0</v>
      </c>
      <c r="S401" s="1">
        <f t="shared" si="79"/>
        <v>0</v>
      </c>
      <c r="T401" s="1">
        <f t="shared" si="80"/>
        <v>0</v>
      </c>
      <c r="U401" s="1">
        <f t="shared" si="81"/>
        <v>0</v>
      </c>
      <c r="V401" s="1">
        <f t="shared" si="82"/>
        <v>0</v>
      </c>
      <c r="W401" s="1">
        <f t="shared" si="83"/>
        <v>2.9110125845313269E-4</v>
      </c>
      <c r="X401" s="1">
        <f t="shared" si="84"/>
        <v>0</v>
      </c>
      <c r="Y401" s="1">
        <f t="shared" si="85"/>
        <v>0</v>
      </c>
      <c r="Z401" s="1">
        <f t="shared" si="90"/>
        <v>0</v>
      </c>
      <c r="AA401" s="1">
        <f t="shared" si="86"/>
        <v>0</v>
      </c>
      <c r="AB401" s="1">
        <f t="shared" si="87"/>
        <v>0</v>
      </c>
      <c r="AC401" s="1">
        <f t="shared" si="88"/>
        <v>3.4238277340581314E-5</v>
      </c>
      <c r="AD401" s="1" t="str">
        <f t="shared" si="91"/>
        <v>GAY AURELIE</v>
      </c>
      <c r="AE401" s="1" t="str">
        <f t="shared" si="92"/>
        <v>9100</v>
      </c>
      <c r="AF401" s="3">
        <f>Q401*Feuil2!$B$3</f>
        <v>0</v>
      </c>
      <c r="AG401" s="3">
        <f>R401*Feuil2!$C$3</f>
        <v>0</v>
      </c>
      <c r="AH401" s="3">
        <f>S401*Feuil2!$D$3</f>
        <v>0</v>
      </c>
      <c r="AI401" s="3">
        <f>T401*Feuil2!$E$2</f>
        <v>0</v>
      </c>
      <c r="AJ401" s="3">
        <f>U401*Feuil2!$F$3</f>
        <v>0</v>
      </c>
      <c r="AK401" s="3">
        <f>V401*Feuil2!$G$3</f>
        <v>0</v>
      </c>
      <c r="AL401" s="3">
        <f>W401*Feuil2!$H$3</f>
        <v>10.583708182184603</v>
      </c>
      <c r="AM401" s="3">
        <f>X401*Feuil2!$I$2</f>
        <v>0</v>
      </c>
      <c r="AN401" s="3">
        <f>Y401*Feuil2!$J$3</f>
        <v>0</v>
      </c>
      <c r="AO401" s="3">
        <f>Z401*Feuil2!$K$3</f>
        <v>0</v>
      </c>
      <c r="AP401" s="3">
        <f>AA401*Feuil2!$L$3</f>
        <v>0</v>
      </c>
      <c r="AQ401" s="3">
        <f>AB401*Feuil2!$M$3</f>
        <v>0</v>
      </c>
      <c r="AR401" s="3">
        <f>AC401*Feuil2!$N$3</f>
        <v>14.335103820991753</v>
      </c>
    </row>
    <row r="402" spans="1:44" x14ac:dyDescent="0.35">
      <c r="A402" t="s">
        <v>788</v>
      </c>
      <c r="B402" t="s">
        <v>789</v>
      </c>
      <c r="C402">
        <v>0</v>
      </c>
      <c r="D402">
        <v>0</v>
      </c>
      <c r="E402">
        <v>0</v>
      </c>
      <c r="F402">
        <v>0</v>
      </c>
      <c r="G402">
        <v>13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13</v>
      </c>
      <c r="Q402" s="1">
        <f>C402/$C$434</f>
        <v>0</v>
      </c>
      <c r="R402" s="1">
        <f t="shared" si="89"/>
        <v>0</v>
      </c>
      <c r="S402" s="1">
        <f t="shared" si="79"/>
        <v>0</v>
      </c>
      <c r="T402" s="1">
        <f t="shared" si="80"/>
        <v>0</v>
      </c>
      <c r="U402" s="1">
        <f t="shared" si="81"/>
        <v>6.196968252454953E-4</v>
      </c>
      <c r="V402" s="1">
        <f t="shared" si="82"/>
        <v>0</v>
      </c>
      <c r="W402" s="1">
        <f t="shared" si="83"/>
        <v>0</v>
      </c>
      <c r="X402" s="1">
        <f t="shared" si="84"/>
        <v>0</v>
      </c>
      <c r="Y402" s="1">
        <f t="shared" si="85"/>
        <v>0</v>
      </c>
      <c r="Z402" s="1">
        <f t="shared" si="90"/>
        <v>0</v>
      </c>
      <c r="AA402" s="1">
        <f t="shared" si="86"/>
        <v>0</v>
      </c>
      <c r="AB402" s="1">
        <f t="shared" si="87"/>
        <v>0</v>
      </c>
      <c r="AC402" s="1">
        <f t="shared" si="88"/>
        <v>3.4238277340581314E-5</v>
      </c>
      <c r="AD402" s="1" t="str">
        <f t="shared" si="91"/>
        <v>PASSION 2 L AUTO</v>
      </c>
      <c r="AE402" s="1" t="str">
        <f t="shared" si="92"/>
        <v>3372</v>
      </c>
      <c r="AF402" s="3">
        <f>Q402*Feuil2!$B$3</f>
        <v>0</v>
      </c>
      <c r="AG402" s="3">
        <f>R402*Feuil2!$C$3</f>
        <v>0</v>
      </c>
      <c r="AH402" s="3">
        <f>S402*Feuil2!$D$3</f>
        <v>0</v>
      </c>
      <c r="AI402" s="3">
        <f>T402*Feuil2!$E$2</f>
        <v>0</v>
      </c>
      <c r="AJ402" s="3">
        <f>U402*Feuil2!$F$3</f>
        <v>15.832262370102013</v>
      </c>
      <c r="AK402" s="3">
        <f>V402*Feuil2!$G$3</f>
        <v>0</v>
      </c>
      <c r="AL402" s="3">
        <f>W402*Feuil2!$H$3</f>
        <v>0</v>
      </c>
      <c r="AM402" s="3">
        <f>X402*Feuil2!$I$2</f>
        <v>0</v>
      </c>
      <c r="AN402" s="3">
        <f>Y402*Feuil2!$J$3</f>
        <v>0</v>
      </c>
      <c r="AO402" s="3">
        <f>Z402*Feuil2!$K$3</f>
        <v>0</v>
      </c>
      <c r="AP402" s="3">
        <f>AA402*Feuil2!$L$3</f>
        <v>0</v>
      </c>
      <c r="AQ402" s="3">
        <f>AB402*Feuil2!$M$3</f>
        <v>0</v>
      </c>
      <c r="AR402" s="3">
        <f>AC402*Feuil2!$N$3</f>
        <v>14.335103820991753</v>
      </c>
    </row>
    <row r="403" spans="1:44" x14ac:dyDescent="0.35">
      <c r="A403" t="s">
        <v>790</v>
      </c>
      <c r="B403" t="s">
        <v>791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13</v>
      </c>
      <c r="N403">
        <v>0</v>
      </c>
      <c r="O403">
        <v>13</v>
      </c>
      <c r="Q403" s="1">
        <f>C403/$C$434</f>
        <v>0</v>
      </c>
      <c r="R403" s="1">
        <f t="shared" si="89"/>
        <v>0</v>
      </c>
      <c r="S403" s="1">
        <f t="shared" ref="S403:S434" si="93">E403/E$434</f>
        <v>0</v>
      </c>
      <c r="T403" s="1">
        <f t="shared" ref="T403:T434" si="94">F403/F$434</f>
        <v>0</v>
      </c>
      <c r="U403" s="1">
        <f t="shared" ref="U403:U434" si="95">G403/G$434</f>
        <v>0</v>
      </c>
      <c r="V403" s="1">
        <f t="shared" ref="V403:V434" si="96">H403/H$434</f>
        <v>0</v>
      </c>
      <c r="W403" s="1">
        <f t="shared" ref="W403:W434" si="97">I403/I$434</f>
        <v>0</v>
      </c>
      <c r="X403" s="1">
        <f t="shared" ref="X403:X434" si="98">J403/J$434</f>
        <v>0</v>
      </c>
      <c r="Y403" s="1">
        <f t="shared" ref="Y403:Y434" si="99">K403/K$434</f>
        <v>0</v>
      </c>
      <c r="Z403" s="1">
        <f t="shared" si="90"/>
        <v>0</v>
      </c>
      <c r="AA403" s="1">
        <f t="shared" si="86"/>
        <v>3.2546378589490022E-4</v>
      </c>
      <c r="AB403" s="1">
        <f t="shared" si="87"/>
        <v>0</v>
      </c>
      <c r="AC403" s="1">
        <f t="shared" si="88"/>
        <v>3.4238277340581314E-5</v>
      </c>
      <c r="AD403" s="1" t="str">
        <f t="shared" si="91"/>
        <v>SAINT VAAST AUTO</v>
      </c>
      <c r="AE403" s="1" t="str">
        <f t="shared" si="92"/>
        <v>4282</v>
      </c>
      <c r="AF403" s="3">
        <f>Q403*Feuil2!$B$3</f>
        <v>0</v>
      </c>
      <c r="AG403" s="3">
        <f>R403*Feuil2!$C$3</f>
        <v>0</v>
      </c>
      <c r="AH403" s="3">
        <f>S403*Feuil2!$D$3</f>
        <v>0</v>
      </c>
      <c r="AI403" s="3">
        <f>T403*Feuil2!$E$2</f>
        <v>0</v>
      </c>
      <c r="AJ403" s="3">
        <f>U403*Feuil2!$F$3</f>
        <v>0</v>
      </c>
      <c r="AK403" s="3">
        <f>V403*Feuil2!$G$3</f>
        <v>0</v>
      </c>
      <c r="AL403" s="3">
        <f>W403*Feuil2!$H$3</f>
        <v>0</v>
      </c>
      <c r="AM403" s="3">
        <f>X403*Feuil2!$I$2</f>
        <v>0</v>
      </c>
      <c r="AN403" s="3">
        <f>Y403*Feuil2!$J$3</f>
        <v>0</v>
      </c>
      <c r="AO403" s="3">
        <f>Z403*Feuil2!$K$3</f>
        <v>0</v>
      </c>
      <c r="AP403" s="3">
        <f>AA403*Feuil2!$L$3</f>
        <v>11.833043086398117</v>
      </c>
      <c r="AQ403" s="3">
        <f>AB403*Feuil2!$M$3</f>
        <v>0</v>
      </c>
      <c r="AR403" s="3">
        <f>AC403*Feuil2!$N$3</f>
        <v>14.335103820991753</v>
      </c>
    </row>
    <row r="404" spans="1:44" x14ac:dyDescent="0.35">
      <c r="A404" t="s">
        <v>792</v>
      </c>
      <c r="B404" t="s">
        <v>598</v>
      </c>
      <c r="C404">
        <v>0</v>
      </c>
      <c r="D404">
        <v>0</v>
      </c>
      <c r="E404">
        <v>13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13</v>
      </c>
      <c r="Q404" s="1">
        <f>C404/$C$434</f>
        <v>0</v>
      </c>
      <c r="R404" s="1">
        <f t="shared" si="89"/>
        <v>0</v>
      </c>
      <c r="S404" s="1">
        <f t="shared" si="93"/>
        <v>4.4129128619437182E-4</v>
      </c>
      <c r="T404" s="1">
        <f t="shared" si="94"/>
        <v>0</v>
      </c>
      <c r="U404" s="1">
        <f t="shared" si="95"/>
        <v>0</v>
      </c>
      <c r="V404" s="1">
        <f t="shared" si="96"/>
        <v>0</v>
      </c>
      <c r="W404" s="1">
        <f t="shared" si="97"/>
        <v>0</v>
      </c>
      <c r="X404" s="1">
        <f t="shared" si="98"/>
        <v>0</v>
      </c>
      <c r="Y404" s="1">
        <f t="shared" si="99"/>
        <v>0</v>
      </c>
      <c r="Z404" s="1">
        <f t="shared" si="90"/>
        <v>0</v>
      </c>
      <c r="AA404" s="1">
        <f t="shared" si="86"/>
        <v>0</v>
      </c>
      <c r="AB404" s="1">
        <f t="shared" si="87"/>
        <v>0</v>
      </c>
      <c r="AC404" s="1">
        <f t="shared" si="88"/>
        <v>3.4238277340581314E-5</v>
      </c>
      <c r="AD404" s="1" t="str">
        <f t="shared" si="91"/>
        <v>TRANSMISSION 14</v>
      </c>
      <c r="AE404" s="1" t="str">
        <f t="shared" si="92"/>
        <v>9133</v>
      </c>
      <c r="AF404" s="3">
        <f>Q404*Feuil2!$B$3</f>
        <v>0</v>
      </c>
      <c r="AG404" s="3">
        <f>R404*Feuil2!$C$3</f>
        <v>0</v>
      </c>
      <c r="AH404" s="3">
        <f>S404*Feuil2!$D$3</f>
        <v>17.341776706609185</v>
      </c>
      <c r="AI404" s="3">
        <f>T404*Feuil2!$E$2</f>
        <v>0</v>
      </c>
      <c r="AJ404" s="3">
        <f>U404*Feuil2!$F$3</f>
        <v>0</v>
      </c>
      <c r="AK404" s="3">
        <f>V404*Feuil2!$G$3</f>
        <v>0</v>
      </c>
      <c r="AL404" s="3">
        <f>W404*Feuil2!$H$3</f>
        <v>0</v>
      </c>
      <c r="AM404" s="3">
        <f>X404*Feuil2!$I$2</f>
        <v>0</v>
      </c>
      <c r="AN404" s="3">
        <f>Y404*Feuil2!$J$3</f>
        <v>0</v>
      </c>
      <c r="AO404" s="3">
        <f>Z404*Feuil2!$K$3</f>
        <v>0</v>
      </c>
      <c r="AP404" s="3">
        <f>AA404*Feuil2!$L$3</f>
        <v>0</v>
      </c>
      <c r="AQ404" s="3">
        <f>AB404*Feuil2!$M$3</f>
        <v>0</v>
      </c>
      <c r="AR404" s="3">
        <f>AC404*Feuil2!$N$3</f>
        <v>14.335103820991753</v>
      </c>
    </row>
    <row r="405" spans="1:44" x14ac:dyDescent="0.35">
      <c r="A405" t="s">
        <v>793</v>
      </c>
      <c r="B405" t="s">
        <v>794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13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13</v>
      </c>
      <c r="Q405" s="1">
        <f>C405/$C$434</f>
        <v>0</v>
      </c>
      <c r="R405" s="1">
        <f t="shared" si="89"/>
        <v>0</v>
      </c>
      <c r="S405" s="1">
        <f t="shared" si="93"/>
        <v>0</v>
      </c>
      <c r="T405" s="1">
        <f t="shared" si="94"/>
        <v>0</v>
      </c>
      <c r="U405" s="1">
        <f t="shared" si="95"/>
        <v>0</v>
      </c>
      <c r="V405" s="1">
        <f t="shared" si="96"/>
        <v>4.3517557660763902E-4</v>
      </c>
      <c r="W405" s="1">
        <f t="shared" si="97"/>
        <v>0</v>
      </c>
      <c r="X405" s="1">
        <f t="shared" si="98"/>
        <v>0</v>
      </c>
      <c r="Y405" s="1">
        <f t="shared" si="99"/>
        <v>0</v>
      </c>
      <c r="Z405" s="1">
        <f t="shared" si="90"/>
        <v>0</v>
      </c>
      <c r="AA405" s="1">
        <f t="shared" si="86"/>
        <v>0</v>
      </c>
      <c r="AB405" s="1">
        <f t="shared" si="87"/>
        <v>0</v>
      </c>
      <c r="AC405" s="1">
        <f t="shared" si="88"/>
        <v>3.4238277340581314E-5</v>
      </c>
      <c r="AD405" s="1" t="str">
        <f t="shared" si="91"/>
        <v>TROUVILLE RESTAURATION</v>
      </c>
      <c r="AE405" s="1" t="str">
        <f t="shared" si="92"/>
        <v>5832</v>
      </c>
      <c r="AF405" s="3">
        <f>Q405*Feuil2!$B$3</f>
        <v>0</v>
      </c>
      <c r="AG405" s="3">
        <f>R405*Feuil2!$C$3</f>
        <v>0</v>
      </c>
      <c r="AH405" s="3">
        <f>S405*Feuil2!$D$3</f>
        <v>0</v>
      </c>
      <c r="AI405" s="3">
        <f>T405*Feuil2!$E$2</f>
        <v>0</v>
      </c>
      <c r="AJ405" s="3">
        <f>U405*Feuil2!$F$3</f>
        <v>0</v>
      </c>
      <c r="AK405" s="3">
        <f>V405*Feuil2!$G$3</f>
        <v>17.532231781207113</v>
      </c>
      <c r="AL405" s="3">
        <f>W405*Feuil2!$H$3</f>
        <v>0</v>
      </c>
      <c r="AM405" s="3">
        <f>X405*Feuil2!$I$2</f>
        <v>0</v>
      </c>
      <c r="AN405" s="3">
        <f>Y405*Feuil2!$J$3</f>
        <v>0</v>
      </c>
      <c r="AO405" s="3">
        <f>Z405*Feuil2!$K$3</f>
        <v>0</v>
      </c>
      <c r="AP405" s="3">
        <f>AA405*Feuil2!$L$3</f>
        <v>0</v>
      </c>
      <c r="AQ405" s="3">
        <f>AB405*Feuil2!$M$3</f>
        <v>0</v>
      </c>
      <c r="AR405" s="3">
        <f>AC405*Feuil2!$N$3</f>
        <v>14.335103820991753</v>
      </c>
    </row>
    <row r="406" spans="1:44" x14ac:dyDescent="0.35">
      <c r="A406" t="s">
        <v>795</v>
      </c>
      <c r="B406" t="s">
        <v>796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12</v>
      </c>
      <c r="M406">
        <v>0</v>
      </c>
      <c r="N406">
        <v>0</v>
      </c>
      <c r="O406">
        <v>12</v>
      </c>
      <c r="Q406" s="1">
        <f>C406/$C$434</f>
        <v>0</v>
      </c>
      <c r="R406" s="1">
        <f t="shared" si="89"/>
        <v>0</v>
      </c>
      <c r="S406" s="1">
        <f t="shared" si="93"/>
        <v>0</v>
      </c>
      <c r="T406" s="1">
        <f t="shared" si="94"/>
        <v>0</v>
      </c>
      <c r="U406" s="1">
        <f t="shared" si="95"/>
        <v>0</v>
      </c>
      <c r="V406" s="1">
        <f t="shared" si="96"/>
        <v>0</v>
      </c>
      <c r="W406" s="1">
        <f t="shared" si="97"/>
        <v>0</v>
      </c>
      <c r="X406" s="1">
        <f t="shared" si="98"/>
        <v>0</v>
      </c>
      <c r="Y406" s="1">
        <f t="shared" si="99"/>
        <v>0</v>
      </c>
      <c r="Z406" s="1">
        <f t="shared" si="90"/>
        <v>3.0450669914738123E-4</v>
      </c>
      <c r="AA406" s="1">
        <f t="shared" si="86"/>
        <v>0</v>
      </c>
      <c r="AB406" s="1">
        <f t="shared" si="87"/>
        <v>0</v>
      </c>
      <c r="AC406" s="1">
        <f t="shared" si="88"/>
        <v>3.1604563698998135E-5</v>
      </c>
      <c r="AD406" s="1" t="str">
        <f t="shared" si="91"/>
        <v>GARAGE BERNARD MARIE</v>
      </c>
      <c r="AE406" s="1" t="str">
        <f t="shared" si="92"/>
        <v>2070</v>
      </c>
      <c r="AF406" s="3">
        <f>Q406*Feuil2!$B$3</f>
        <v>0</v>
      </c>
      <c r="AG406" s="3">
        <f>R406*Feuil2!$C$3</f>
        <v>0</v>
      </c>
      <c r="AH406" s="3">
        <f>S406*Feuil2!$D$3</f>
        <v>0</v>
      </c>
      <c r="AI406" s="3">
        <f>T406*Feuil2!$E$2</f>
        <v>0</v>
      </c>
      <c r="AJ406" s="3">
        <f>U406*Feuil2!$F$3</f>
        <v>0</v>
      </c>
      <c r="AK406" s="3">
        <f>V406*Feuil2!$G$3</f>
        <v>0</v>
      </c>
      <c r="AL406" s="3">
        <f>W406*Feuil2!$H$3</f>
        <v>0</v>
      </c>
      <c r="AM406" s="3">
        <f>X406*Feuil2!$I$2</f>
        <v>0</v>
      </c>
      <c r="AN406" s="3">
        <f>Y406*Feuil2!$J$3</f>
        <v>0</v>
      </c>
      <c r="AO406" s="3">
        <f>Z406*Feuil2!$K$3</f>
        <v>12.267880633373935</v>
      </c>
      <c r="AP406" s="3">
        <f>AA406*Feuil2!$L$3</f>
        <v>0</v>
      </c>
      <c r="AQ406" s="3">
        <f>AB406*Feuil2!$M$3</f>
        <v>0</v>
      </c>
      <c r="AR406" s="3">
        <f>AC406*Feuil2!$N$3</f>
        <v>13.232403527069311</v>
      </c>
    </row>
    <row r="407" spans="1:44" x14ac:dyDescent="0.35">
      <c r="A407" t="s">
        <v>797</v>
      </c>
      <c r="B407" t="s">
        <v>719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12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12</v>
      </c>
      <c r="Q407" s="1">
        <f>C407/$C$434</f>
        <v>0</v>
      </c>
      <c r="R407" s="1">
        <f t="shared" si="89"/>
        <v>0</v>
      </c>
      <c r="S407" s="1">
        <f t="shared" si="93"/>
        <v>0</v>
      </c>
      <c r="T407" s="1">
        <f t="shared" si="94"/>
        <v>0</v>
      </c>
      <c r="U407" s="1">
        <f t="shared" si="95"/>
        <v>0</v>
      </c>
      <c r="V407" s="1">
        <f t="shared" si="96"/>
        <v>4.0170053225320522E-4</v>
      </c>
      <c r="W407" s="1">
        <f t="shared" si="97"/>
        <v>0</v>
      </c>
      <c r="X407" s="1">
        <f t="shared" si="98"/>
        <v>0</v>
      </c>
      <c r="Y407" s="1">
        <f t="shared" si="99"/>
        <v>0</v>
      </c>
      <c r="Z407" s="1">
        <f t="shared" si="90"/>
        <v>0</v>
      </c>
      <c r="AA407" s="1">
        <f t="shared" si="86"/>
        <v>0</v>
      </c>
      <c r="AB407" s="1">
        <f t="shared" si="87"/>
        <v>0</v>
      </c>
      <c r="AC407" s="1">
        <f t="shared" si="88"/>
        <v>3.1604563698998135E-5</v>
      </c>
      <c r="AD407" s="1" t="str">
        <f t="shared" si="91"/>
        <v>M lemonnier</v>
      </c>
      <c r="AE407" s="1" t="str">
        <f t="shared" si="92"/>
        <v>9100</v>
      </c>
      <c r="AF407" s="3">
        <f>Q407*Feuil2!$B$3</f>
        <v>0</v>
      </c>
      <c r="AG407" s="3">
        <f>R407*Feuil2!$C$3</f>
        <v>0</v>
      </c>
      <c r="AH407" s="3">
        <f>S407*Feuil2!$D$3</f>
        <v>0</v>
      </c>
      <c r="AI407" s="3">
        <f>T407*Feuil2!$E$2</f>
        <v>0</v>
      </c>
      <c r="AJ407" s="3">
        <f>U407*Feuil2!$F$3</f>
        <v>0</v>
      </c>
      <c r="AK407" s="3">
        <f>V407*Feuil2!$G$3</f>
        <v>16.183598567268103</v>
      </c>
      <c r="AL407" s="3">
        <f>W407*Feuil2!$H$3</f>
        <v>0</v>
      </c>
      <c r="AM407" s="3">
        <f>X407*Feuil2!$I$2</f>
        <v>0</v>
      </c>
      <c r="AN407" s="3">
        <f>Y407*Feuil2!$J$3</f>
        <v>0</v>
      </c>
      <c r="AO407" s="3">
        <f>Z407*Feuil2!$K$3</f>
        <v>0</v>
      </c>
      <c r="AP407" s="3">
        <f>AA407*Feuil2!$L$3</f>
        <v>0</v>
      </c>
      <c r="AQ407" s="3">
        <f>AB407*Feuil2!$M$3</f>
        <v>0</v>
      </c>
      <c r="AR407" s="3">
        <f>AC407*Feuil2!$N$3</f>
        <v>13.232403527069311</v>
      </c>
    </row>
    <row r="408" spans="1:44" x14ac:dyDescent="0.35">
      <c r="A408" t="s">
        <v>798</v>
      </c>
      <c r="B408" t="s">
        <v>719</v>
      </c>
      <c r="C408">
        <v>0</v>
      </c>
      <c r="D408">
        <v>0</v>
      </c>
      <c r="E408">
        <v>0</v>
      </c>
      <c r="F408">
        <v>0</v>
      </c>
      <c r="G408">
        <v>12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12</v>
      </c>
      <c r="Q408" s="1">
        <f>C408/$C$434</f>
        <v>0</v>
      </c>
      <c r="R408" s="1">
        <f t="shared" si="89"/>
        <v>0</v>
      </c>
      <c r="S408" s="1">
        <f t="shared" si="93"/>
        <v>0</v>
      </c>
      <c r="T408" s="1">
        <f t="shared" si="94"/>
        <v>0</v>
      </c>
      <c r="U408" s="1">
        <f t="shared" si="95"/>
        <v>5.7202783868814944E-4</v>
      </c>
      <c r="V408" s="1">
        <f t="shared" si="96"/>
        <v>0</v>
      </c>
      <c r="W408" s="1">
        <f t="shared" si="97"/>
        <v>0</v>
      </c>
      <c r="X408" s="1">
        <f t="shared" si="98"/>
        <v>0</v>
      </c>
      <c r="Y408" s="1">
        <f t="shared" si="99"/>
        <v>0</v>
      </c>
      <c r="Z408" s="1">
        <f t="shared" si="90"/>
        <v>0</v>
      </c>
      <c r="AA408" s="1">
        <f t="shared" si="86"/>
        <v>0</v>
      </c>
      <c r="AB408" s="1">
        <f t="shared" si="87"/>
        <v>0</v>
      </c>
      <c r="AC408" s="1">
        <f t="shared" si="88"/>
        <v>3.1604563698998135E-5</v>
      </c>
      <c r="AD408" s="1" t="str">
        <f t="shared" si="91"/>
        <v>Mr Granville</v>
      </c>
      <c r="AE408" s="1" t="str">
        <f t="shared" si="92"/>
        <v>9100</v>
      </c>
      <c r="AF408" s="3">
        <f>Q408*Feuil2!$B$3</f>
        <v>0</v>
      </c>
      <c r="AG408" s="3">
        <f>R408*Feuil2!$C$3</f>
        <v>0</v>
      </c>
      <c r="AH408" s="3">
        <f>S408*Feuil2!$D$3</f>
        <v>0</v>
      </c>
      <c r="AI408" s="3">
        <f>T408*Feuil2!$E$2</f>
        <v>0</v>
      </c>
      <c r="AJ408" s="3">
        <f>U408*Feuil2!$F$3</f>
        <v>14.614396033940318</v>
      </c>
      <c r="AK408" s="3">
        <f>V408*Feuil2!$G$3</f>
        <v>0</v>
      </c>
      <c r="AL408" s="3">
        <f>W408*Feuil2!$H$3</f>
        <v>0</v>
      </c>
      <c r="AM408" s="3">
        <f>X408*Feuil2!$I$2</f>
        <v>0</v>
      </c>
      <c r="AN408" s="3">
        <f>Y408*Feuil2!$J$3</f>
        <v>0</v>
      </c>
      <c r="AO408" s="3">
        <f>Z408*Feuil2!$K$3</f>
        <v>0</v>
      </c>
      <c r="AP408" s="3">
        <f>AA408*Feuil2!$L$3</f>
        <v>0</v>
      </c>
      <c r="AQ408" s="3">
        <f>AB408*Feuil2!$M$3</f>
        <v>0</v>
      </c>
      <c r="AR408" s="3">
        <f>AC408*Feuil2!$N$3</f>
        <v>13.232403527069311</v>
      </c>
    </row>
    <row r="409" spans="1:44" x14ac:dyDescent="0.35">
      <c r="A409" t="s">
        <v>799</v>
      </c>
      <c r="B409" t="s">
        <v>800</v>
      </c>
      <c r="C409">
        <v>0</v>
      </c>
      <c r="D409">
        <v>0</v>
      </c>
      <c r="E409">
        <v>0</v>
      </c>
      <c r="F409">
        <v>0</v>
      </c>
      <c r="G409">
        <v>12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12</v>
      </c>
      <c r="Q409" s="1">
        <f>C409/$C$434</f>
        <v>0</v>
      </c>
      <c r="R409" s="1">
        <f t="shared" si="89"/>
        <v>0</v>
      </c>
      <c r="S409" s="1">
        <f t="shared" si="93"/>
        <v>0</v>
      </c>
      <c r="T409" s="1">
        <f t="shared" si="94"/>
        <v>0</v>
      </c>
      <c r="U409" s="1">
        <f t="shared" si="95"/>
        <v>5.7202783868814944E-4</v>
      </c>
      <c r="V409" s="1">
        <f t="shared" si="96"/>
        <v>0</v>
      </c>
      <c r="W409" s="1">
        <f t="shared" si="97"/>
        <v>0</v>
      </c>
      <c r="X409" s="1">
        <f t="shared" si="98"/>
        <v>0</v>
      </c>
      <c r="Y409" s="1">
        <f t="shared" si="99"/>
        <v>0</v>
      </c>
      <c r="Z409" s="1">
        <f t="shared" si="90"/>
        <v>0</v>
      </c>
      <c r="AA409" s="1">
        <f t="shared" si="86"/>
        <v>0</v>
      </c>
      <c r="AB409" s="1">
        <f t="shared" si="87"/>
        <v>0</v>
      </c>
      <c r="AC409" s="1">
        <f t="shared" si="88"/>
        <v>3.1604563698998135E-5</v>
      </c>
      <c r="AD409" s="1" t="str">
        <f t="shared" si="91"/>
        <v>R AUTO</v>
      </c>
      <c r="AE409" s="1" t="str">
        <f t="shared" si="92"/>
        <v>5475</v>
      </c>
      <c r="AF409" s="3">
        <f>Q409*Feuil2!$B$3</f>
        <v>0</v>
      </c>
      <c r="AG409" s="3">
        <f>R409*Feuil2!$C$3</f>
        <v>0</v>
      </c>
      <c r="AH409" s="3">
        <f>S409*Feuil2!$D$3</f>
        <v>0</v>
      </c>
      <c r="AI409" s="3">
        <f>T409*Feuil2!$E$2</f>
        <v>0</v>
      </c>
      <c r="AJ409" s="3">
        <f>U409*Feuil2!$F$3</f>
        <v>14.614396033940318</v>
      </c>
      <c r="AK409" s="3">
        <f>V409*Feuil2!$G$3</f>
        <v>0</v>
      </c>
      <c r="AL409" s="3">
        <f>W409*Feuil2!$H$3</f>
        <v>0</v>
      </c>
      <c r="AM409" s="3">
        <f>X409*Feuil2!$I$2</f>
        <v>0</v>
      </c>
      <c r="AN409" s="3">
        <f>Y409*Feuil2!$J$3</f>
        <v>0</v>
      </c>
      <c r="AO409" s="3">
        <f>Z409*Feuil2!$K$3</f>
        <v>0</v>
      </c>
      <c r="AP409" s="3">
        <f>AA409*Feuil2!$L$3</f>
        <v>0</v>
      </c>
      <c r="AQ409" s="3">
        <f>AB409*Feuil2!$M$3</f>
        <v>0</v>
      </c>
      <c r="AR409" s="3">
        <f>AC409*Feuil2!$N$3</f>
        <v>13.232403527069311</v>
      </c>
    </row>
    <row r="410" spans="1:44" x14ac:dyDescent="0.35">
      <c r="A410" t="s">
        <v>801</v>
      </c>
      <c r="B410" t="s">
        <v>802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12</v>
      </c>
      <c r="L410">
        <v>0</v>
      </c>
      <c r="M410">
        <v>0</v>
      </c>
      <c r="N410">
        <v>0</v>
      </c>
      <c r="O410">
        <v>12</v>
      </c>
      <c r="Q410" s="1">
        <f>C410/$C$434</f>
        <v>0</v>
      </c>
      <c r="R410" s="1">
        <f t="shared" si="89"/>
        <v>0</v>
      </c>
      <c r="S410" s="1">
        <f t="shared" si="93"/>
        <v>0</v>
      </c>
      <c r="T410" s="1">
        <f t="shared" si="94"/>
        <v>0</v>
      </c>
      <c r="U410" s="1">
        <f t="shared" si="95"/>
        <v>0</v>
      </c>
      <c r="V410" s="1">
        <f t="shared" si="96"/>
        <v>0</v>
      </c>
      <c r="W410" s="1">
        <f t="shared" si="97"/>
        <v>0</v>
      </c>
      <c r="X410" s="1">
        <f t="shared" si="98"/>
        <v>0</v>
      </c>
      <c r="Y410" s="1">
        <f t="shared" si="99"/>
        <v>3.0711744683029204E-4</v>
      </c>
      <c r="Z410" s="1">
        <f t="shared" si="90"/>
        <v>0</v>
      </c>
      <c r="AA410" s="1">
        <f t="shared" si="86"/>
        <v>0</v>
      </c>
      <c r="AB410" s="1">
        <f t="shared" si="87"/>
        <v>0</v>
      </c>
      <c r="AC410" s="1">
        <f t="shared" si="88"/>
        <v>3.1604563698998135E-5</v>
      </c>
      <c r="AD410" s="1" t="str">
        <f t="shared" si="91"/>
        <v>WM Auto</v>
      </c>
      <c r="AE410" s="1" t="str">
        <f t="shared" si="92"/>
        <v>167730</v>
      </c>
      <c r="AF410" s="3">
        <f>Q410*Feuil2!$B$3</f>
        <v>0</v>
      </c>
      <c r="AG410" s="3">
        <f>R410*Feuil2!$C$3</f>
        <v>0</v>
      </c>
      <c r="AH410" s="3">
        <f>S410*Feuil2!$D$3</f>
        <v>0</v>
      </c>
      <c r="AI410" s="3">
        <f>T410*Feuil2!$E$2</f>
        <v>0</v>
      </c>
      <c r="AJ410" s="3">
        <f>U410*Feuil2!$F$3</f>
        <v>0</v>
      </c>
      <c r="AK410" s="3">
        <f>V410*Feuil2!$G$3</f>
        <v>0</v>
      </c>
      <c r="AL410" s="3">
        <f>W410*Feuil2!$H$3</f>
        <v>0</v>
      </c>
      <c r="AM410" s="3">
        <f>X410*Feuil2!$I$2</f>
        <v>0</v>
      </c>
      <c r="AN410" s="3">
        <f>Y410*Feuil2!$J$3</f>
        <v>12.976584342128838</v>
      </c>
      <c r="AO410" s="3">
        <f>Z410*Feuil2!$K$3</f>
        <v>0</v>
      </c>
      <c r="AP410" s="3">
        <f>AA410*Feuil2!$L$3</f>
        <v>0</v>
      </c>
      <c r="AQ410" s="3">
        <f>AB410*Feuil2!$M$3</f>
        <v>0</v>
      </c>
      <c r="AR410" s="3">
        <f>AC410*Feuil2!$N$3</f>
        <v>13.232403527069311</v>
      </c>
    </row>
    <row r="411" spans="1:44" x14ac:dyDescent="0.35">
      <c r="A411" t="s">
        <v>803</v>
      </c>
      <c r="B411" t="s">
        <v>804</v>
      </c>
      <c r="C411">
        <v>0</v>
      </c>
      <c r="D411">
        <v>0</v>
      </c>
      <c r="E411">
        <v>0</v>
      </c>
      <c r="F411">
        <v>11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11</v>
      </c>
      <c r="Q411" s="1">
        <f>C411/$C$434</f>
        <v>0</v>
      </c>
      <c r="R411" s="1">
        <f t="shared" si="89"/>
        <v>0</v>
      </c>
      <c r="S411" s="1">
        <f t="shared" si="93"/>
        <v>0</v>
      </c>
      <c r="T411" s="1">
        <f t="shared" si="94"/>
        <v>4.417138497369795E-4</v>
      </c>
      <c r="U411" s="1">
        <f t="shared" si="95"/>
        <v>0</v>
      </c>
      <c r="V411" s="1">
        <f t="shared" si="96"/>
        <v>0</v>
      </c>
      <c r="W411" s="1">
        <f t="shared" si="97"/>
        <v>0</v>
      </c>
      <c r="X411" s="1">
        <f t="shared" si="98"/>
        <v>0</v>
      </c>
      <c r="Y411" s="1">
        <f t="shared" si="99"/>
        <v>0</v>
      </c>
      <c r="Z411" s="1">
        <f t="shared" si="90"/>
        <v>0</v>
      </c>
      <c r="AA411" s="1">
        <f t="shared" si="86"/>
        <v>0</v>
      </c>
      <c r="AB411" s="1">
        <f t="shared" si="87"/>
        <v>0</v>
      </c>
      <c r="AC411" s="1">
        <f t="shared" si="88"/>
        <v>2.8970850057414957E-5</v>
      </c>
      <c r="AD411" s="1" t="str">
        <f t="shared" si="91"/>
        <v>AGENCE DES TILLEULS</v>
      </c>
      <c r="AE411" s="1" t="str">
        <f t="shared" si="92"/>
        <v>100840</v>
      </c>
      <c r="AF411" s="3">
        <f>Q411*Feuil2!$B$3</f>
        <v>0</v>
      </c>
      <c r="AG411" s="3">
        <f>R411*Feuil2!$C$3</f>
        <v>0</v>
      </c>
      <c r="AH411" s="3">
        <f>S411*Feuil2!$D$3</f>
        <v>0</v>
      </c>
      <c r="AI411" s="3">
        <f>T411*Feuil2!$E$2</f>
        <v>16.556760229691204</v>
      </c>
      <c r="AJ411" s="3">
        <f>U411*Feuil2!$F$3</f>
        <v>0</v>
      </c>
      <c r="AK411" s="3">
        <f>V411*Feuil2!$G$3</f>
        <v>0</v>
      </c>
      <c r="AL411" s="3">
        <f>W411*Feuil2!$H$3</f>
        <v>0</v>
      </c>
      <c r="AM411" s="3">
        <f>X411*Feuil2!$I$2</f>
        <v>0</v>
      </c>
      <c r="AN411" s="3">
        <f>Y411*Feuil2!$J$3</f>
        <v>0</v>
      </c>
      <c r="AO411" s="3">
        <f>Z411*Feuil2!$K$3</f>
        <v>0</v>
      </c>
      <c r="AP411" s="3">
        <f>AA411*Feuil2!$L$3</f>
        <v>0</v>
      </c>
      <c r="AQ411" s="3">
        <f>AB411*Feuil2!$M$3</f>
        <v>0</v>
      </c>
      <c r="AR411" s="3">
        <f>AC411*Feuil2!$N$3</f>
        <v>12.129703233146866</v>
      </c>
    </row>
    <row r="412" spans="1:44" x14ac:dyDescent="0.35">
      <c r="A412" t="s">
        <v>805</v>
      </c>
      <c r="B412" t="s">
        <v>806</v>
      </c>
      <c r="C412">
        <v>0</v>
      </c>
      <c r="D412">
        <v>0</v>
      </c>
      <c r="E412">
        <v>0</v>
      </c>
      <c r="F412">
        <v>11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11</v>
      </c>
      <c r="Q412" s="1">
        <f>C412/$C$434</f>
        <v>0</v>
      </c>
      <c r="R412" s="1">
        <f t="shared" si="89"/>
        <v>0</v>
      </c>
      <c r="S412" s="1">
        <f t="shared" si="93"/>
        <v>0</v>
      </c>
      <c r="T412" s="1">
        <f t="shared" si="94"/>
        <v>4.417138497369795E-4</v>
      </c>
      <c r="U412" s="1">
        <f t="shared" si="95"/>
        <v>0</v>
      </c>
      <c r="V412" s="1">
        <f t="shared" si="96"/>
        <v>0</v>
      </c>
      <c r="W412" s="1">
        <f t="shared" si="97"/>
        <v>0</v>
      </c>
      <c r="X412" s="1">
        <f t="shared" si="98"/>
        <v>0</v>
      </c>
      <c r="Y412" s="1">
        <f t="shared" si="99"/>
        <v>0</v>
      </c>
      <c r="Z412" s="1">
        <f t="shared" si="90"/>
        <v>0</v>
      </c>
      <c r="AA412" s="1">
        <f t="shared" si="86"/>
        <v>0</v>
      </c>
      <c r="AB412" s="1">
        <f t="shared" si="87"/>
        <v>0</v>
      </c>
      <c r="AC412" s="1">
        <f t="shared" si="88"/>
        <v>2.8970850057414957E-5</v>
      </c>
      <c r="AD412" s="1" t="str">
        <f t="shared" si="91"/>
        <v>DE CREULLY</v>
      </c>
      <c r="AE412" s="1" t="str">
        <f t="shared" si="92"/>
        <v>3725</v>
      </c>
      <c r="AF412" s="3">
        <f>Q412*Feuil2!$B$3</f>
        <v>0</v>
      </c>
      <c r="AG412" s="3">
        <f>R412*Feuil2!$C$3</f>
        <v>0</v>
      </c>
      <c r="AH412" s="3">
        <f>S412*Feuil2!$D$3</f>
        <v>0</v>
      </c>
      <c r="AI412" s="3">
        <f>T412*Feuil2!$E$2</f>
        <v>16.556760229691204</v>
      </c>
      <c r="AJ412" s="3">
        <f>U412*Feuil2!$F$3</f>
        <v>0</v>
      </c>
      <c r="AK412" s="3">
        <f>V412*Feuil2!$G$3</f>
        <v>0</v>
      </c>
      <c r="AL412" s="3">
        <f>W412*Feuil2!$H$3</f>
        <v>0</v>
      </c>
      <c r="AM412" s="3">
        <f>X412*Feuil2!$I$2</f>
        <v>0</v>
      </c>
      <c r="AN412" s="3">
        <f>Y412*Feuil2!$J$3</f>
        <v>0</v>
      </c>
      <c r="AO412" s="3">
        <f>Z412*Feuil2!$K$3</f>
        <v>0</v>
      </c>
      <c r="AP412" s="3">
        <f>AA412*Feuil2!$L$3</f>
        <v>0</v>
      </c>
      <c r="AQ412" s="3">
        <f>AB412*Feuil2!$M$3</f>
        <v>0</v>
      </c>
      <c r="AR412" s="3">
        <f>AC412*Feuil2!$N$3</f>
        <v>12.129703233146866</v>
      </c>
    </row>
    <row r="413" spans="1:44" x14ac:dyDescent="0.35">
      <c r="A413" t="s">
        <v>807</v>
      </c>
      <c r="B413" t="s">
        <v>808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11</v>
      </c>
      <c r="M413">
        <v>0</v>
      </c>
      <c r="N413">
        <v>0</v>
      </c>
      <c r="O413">
        <v>11</v>
      </c>
      <c r="Q413" s="1">
        <f>C413/$C$434</f>
        <v>0</v>
      </c>
      <c r="R413" s="1">
        <f t="shared" si="89"/>
        <v>0</v>
      </c>
      <c r="S413" s="1">
        <f t="shared" si="93"/>
        <v>0</v>
      </c>
      <c r="T413" s="1">
        <f t="shared" si="94"/>
        <v>0</v>
      </c>
      <c r="U413" s="1">
        <f t="shared" si="95"/>
        <v>0</v>
      </c>
      <c r="V413" s="1">
        <f t="shared" si="96"/>
        <v>0</v>
      </c>
      <c r="W413" s="1">
        <f t="shared" si="97"/>
        <v>0</v>
      </c>
      <c r="X413" s="1">
        <f t="shared" si="98"/>
        <v>0</v>
      </c>
      <c r="Y413" s="1">
        <f t="shared" si="99"/>
        <v>0</v>
      </c>
      <c r="Z413" s="1">
        <f t="shared" si="90"/>
        <v>2.7913114088509949E-4</v>
      </c>
      <c r="AA413" s="1">
        <f t="shared" si="86"/>
        <v>0</v>
      </c>
      <c r="AB413" s="1">
        <f t="shared" si="87"/>
        <v>0</v>
      </c>
      <c r="AC413" s="1">
        <f t="shared" si="88"/>
        <v>2.8970850057414957E-5</v>
      </c>
      <c r="AD413" s="1" t="str">
        <f t="shared" si="91"/>
        <v>JS PERFORMANCE AUTOMOBILE</v>
      </c>
      <c r="AE413" s="1" t="str">
        <f t="shared" si="92"/>
        <v>6484</v>
      </c>
      <c r="AF413" s="3">
        <f>Q413*Feuil2!$B$3</f>
        <v>0</v>
      </c>
      <c r="AG413" s="3">
        <f>R413*Feuil2!$C$3</f>
        <v>0</v>
      </c>
      <c r="AH413" s="3">
        <f>S413*Feuil2!$D$3</f>
        <v>0</v>
      </c>
      <c r="AI413" s="3">
        <f>T413*Feuil2!$E$2</f>
        <v>0</v>
      </c>
      <c r="AJ413" s="3">
        <f>U413*Feuil2!$F$3</f>
        <v>0</v>
      </c>
      <c r="AK413" s="3">
        <f>V413*Feuil2!$G$3</f>
        <v>0</v>
      </c>
      <c r="AL413" s="3">
        <f>W413*Feuil2!$H$3</f>
        <v>0</v>
      </c>
      <c r="AM413" s="3">
        <f>X413*Feuil2!$I$2</f>
        <v>0</v>
      </c>
      <c r="AN413" s="3">
        <f>Y413*Feuil2!$J$3</f>
        <v>0</v>
      </c>
      <c r="AO413" s="3">
        <f>Z413*Feuil2!$K$3</f>
        <v>11.245557247259441</v>
      </c>
      <c r="AP413" s="3">
        <f>AA413*Feuil2!$L$3</f>
        <v>0</v>
      </c>
      <c r="AQ413" s="3">
        <f>AB413*Feuil2!$M$3</f>
        <v>0</v>
      </c>
      <c r="AR413" s="3">
        <f>AC413*Feuil2!$N$3</f>
        <v>12.129703233146866</v>
      </c>
    </row>
    <row r="414" spans="1:44" x14ac:dyDescent="0.35">
      <c r="A414" t="s">
        <v>809</v>
      </c>
      <c r="B414" t="s">
        <v>810</v>
      </c>
      <c r="C414">
        <v>0</v>
      </c>
      <c r="D414">
        <v>0</v>
      </c>
      <c r="E414">
        <v>0</v>
      </c>
      <c r="F414">
        <v>11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11</v>
      </c>
      <c r="Q414" s="1">
        <f>C414/$C$434</f>
        <v>0</v>
      </c>
      <c r="R414" s="1">
        <f t="shared" si="89"/>
        <v>0</v>
      </c>
      <c r="S414" s="1">
        <f t="shared" si="93"/>
        <v>0</v>
      </c>
      <c r="T414" s="1">
        <f t="shared" si="94"/>
        <v>4.417138497369795E-4</v>
      </c>
      <c r="U414" s="1">
        <f t="shared" si="95"/>
        <v>0</v>
      </c>
      <c r="V414" s="1">
        <f t="shared" si="96"/>
        <v>0</v>
      </c>
      <c r="W414" s="1">
        <f t="shared" si="97"/>
        <v>0</v>
      </c>
      <c r="X414" s="1">
        <f t="shared" si="98"/>
        <v>0</v>
      </c>
      <c r="Y414" s="1">
        <f t="shared" si="99"/>
        <v>0</v>
      </c>
      <c r="Z414" s="1">
        <f t="shared" si="90"/>
        <v>0</v>
      </c>
      <c r="AA414" s="1">
        <f t="shared" si="86"/>
        <v>0</v>
      </c>
      <c r="AB414" s="1">
        <f t="shared" si="87"/>
        <v>0</v>
      </c>
      <c r="AC414" s="1">
        <f t="shared" si="88"/>
        <v>2.8970850057414957E-5</v>
      </c>
      <c r="AD414" s="1" t="str">
        <f t="shared" si="91"/>
        <v>SBGD</v>
      </c>
      <c r="AE414" s="1" t="str">
        <f t="shared" si="92"/>
        <v>3697</v>
      </c>
      <c r="AF414" s="3">
        <f>Q414*Feuil2!$B$3</f>
        <v>0</v>
      </c>
      <c r="AG414" s="3">
        <f>R414*Feuil2!$C$3</f>
        <v>0</v>
      </c>
      <c r="AH414" s="3">
        <f>S414*Feuil2!$D$3</f>
        <v>0</v>
      </c>
      <c r="AI414" s="3">
        <f>T414*Feuil2!$E$2</f>
        <v>16.556760229691204</v>
      </c>
      <c r="AJ414" s="3">
        <f>U414*Feuil2!$F$3</f>
        <v>0</v>
      </c>
      <c r="AK414" s="3">
        <f>V414*Feuil2!$G$3</f>
        <v>0</v>
      </c>
      <c r="AL414" s="3">
        <f>W414*Feuil2!$H$3</f>
        <v>0</v>
      </c>
      <c r="AM414" s="3">
        <f>X414*Feuil2!$I$2</f>
        <v>0</v>
      </c>
      <c r="AN414" s="3">
        <f>Y414*Feuil2!$J$3</f>
        <v>0</v>
      </c>
      <c r="AO414" s="3">
        <f>Z414*Feuil2!$K$3</f>
        <v>0</v>
      </c>
      <c r="AP414" s="3">
        <f>AA414*Feuil2!$L$3</f>
        <v>0</v>
      </c>
      <c r="AQ414" s="3">
        <f>AB414*Feuil2!$M$3</f>
        <v>0</v>
      </c>
      <c r="AR414" s="3">
        <f>AC414*Feuil2!$N$3</f>
        <v>12.129703233146866</v>
      </c>
    </row>
    <row r="415" spans="1:44" x14ac:dyDescent="0.35">
      <c r="A415" t="s">
        <v>811</v>
      </c>
      <c r="B415" t="s">
        <v>812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11</v>
      </c>
      <c r="Q415" s="1">
        <f>C415/$C$434</f>
        <v>0</v>
      </c>
      <c r="R415" s="1">
        <f t="shared" si="89"/>
        <v>0</v>
      </c>
      <c r="S415" s="1">
        <f t="shared" si="93"/>
        <v>0</v>
      </c>
      <c r="T415" s="1">
        <f t="shared" si="94"/>
        <v>0</v>
      </c>
      <c r="U415" s="1">
        <f t="shared" si="95"/>
        <v>0</v>
      </c>
      <c r="V415" s="1">
        <f t="shared" si="96"/>
        <v>3.6822548789877148E-4</v>
      </c>
      <c r="W415" s="1">
        <f t="shared" si="97"/>
        <v>0</v>
      </c>
      <c r="X415" s="1">
        <f t="shared" si="98"/>
        <v>0</v>
      </c>
      <c r="Y415" s="1">
        <f t="shared" si="99"/>
        <v>0</v>
      </c>
      <c r="Z415" s="1">
        <f t="shared" si="90"/>
        <v>0</v>
      </c>
      <c r="AA415" s="1">
        <f t="shared" si="86"/>
        <v>0</v>
      </c>
      <c r="AB415" s="1">
        <f t="shared" si="87"/>
        <v>0</v>
      </c>
      <c r="AC415" s="1">
        <f t="shared" si="88"/>
        <v>2.8970850057414957E-5</v>
      </c>
      <c r="AD415" s="1" t="str">
        <f t="shared" si="91"/>
        <v>SPECIAL T</v>
      </c>
      <c r="AE415" s="1" t="str">
        <f t="shared" si="92"/>
        <v>3897</v>
      </c>
      <c r="AF415" s="3">
        <f>Q415*Feuil2!$B$3</f>
        <v>0</v>
      </c>
      <c r="AG415" s="3">
        <f>R415*Feuil2!$C$3</f>
        <v>0</v>
      </c>
      <c r="AH415" s="3">
        <f>S415*Feuil2!$D$3</f>
        <v>0</v>
      </c>
      <c r="AI415" s="3">
        <f>T415*Feuil2!$E$2</f>
        <v>0</v>
      </c>
      <c r="AJ415" s="3">
        <f>U415*Feuil2!$F$3</f>
        <v>0</v>
      </c>
      <c r="AK415" s="3">
        <f>V415*Feuil2!$G$3</f>
        <v>14.834965353329094</v>
      </c>
      <c r="AL415" s="3">
        <f>W415*Feuil2!$H$3</f>
        <v>0</v>
      </c>
      <c r="AM415" s="3">
        <f>X415*Feuil2!$I$2</f>
        <v>0</v>
      </c>
      <c r="AN415" s="3">
        <f>Y415*Feuil2!$J$3</f>
        <v>0</v>
      </c>
      <c r="AO415" s="3">
        <f>Z415*Feuil2!$K$3</f>
        <v>0</v>
      </c>
      <c r="AP415" s="3">
        <f>AA415*Feuil2!$L$3</f>
        <v>0</v>
      </c>
      <c r="AQ415" s="3">
        <f>AB415*Feuil2!$M$3</f>
        <v>0</v>
      </c>
      <c r="AR415" s="3">
        <f>AC415*Feuil2!$N$3</f>
        <v>12.129703233146866</v>
      </c>
    </row>
    <row r="416" spans="1:44" x14ac:dyDescent="0.35">
      <c r="A416" t="s">
        <v>813</v>
      </c>
      <c r="B416" t="s">
        <v>814</v>
      </c>
      <c r="C416">
        <v>0</v>
      </c>
      <c r="D416">
        <v>0</v>
      </c>
      <c r="E416">
        <v>0</v>
      </c>
      <c r="F416">
        <v>0</v>
      </c>
      <c r="G416">
        <v>10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10</v>
      </c>
      <c r="Q416" s="1">
        <f>C416/$C$434</f>
        <v>0</v>
      </c>
      <c r="R416" s="1">
        <f t="shared" si="89"/>
        <v>0</v>
      </c>
      <c r="S416" s="1">
        <f t="shared" si="93"/>
        <v>0</v>
      </c>
      <c r="T416" s="1">
        <f t="shared" si="94"/>
        <v>0</v>
      </c>
      <c r="U416" s="1">
        <f t="shared" si="95"/>
        <v>4.7668986557345788E-4</v>
      </c>
      <c r="V416" s="1">
        <f t="shared" si="96"/>
        <v>0</v>
      </c>
      <c r="W416" s="1">
        <f t="shared" si="97"/>
        <v>0</v>
      </c>
      <c r="X416" s="1">
        <f t="shared" si="98"/>
        <v>0</v>
      </c>
      <c r="Y416" s="1">
        <f t="shared" si="99"/>
        <v>0</v>
      </c>
      <c r="Z416" s="1">
        <f t="shared" si="90"/>
        <v>0</v>
      </c>
      <c r="AA416" s="1">
        <f t="shared" si="86"/>
        <v>0</v>
      </c>
      <c r="AB416" s="1">
        <f t="shared" si="87"/>
        <v>0</v>
      </c>
      <c r="AC416" s="1">
        <f t="shared" si="88"/>
        <v>2.6337136415831778E-5</v>
      </c>
      <c r="AD416" s="1" t="str">
        <f t="shared" si="91"/>
        <v>GARAGE ADE</v>
      </c>
      <c r="AE416" s="1" t="str">
        <f t="shared" si="92"/>
        <v>150786</v>
      </c>
      <c r="AF416" s="3">
        <f>Q416*Feuil2!$B$3</f>
        <v>0</v>
      </c>
      <c r="AG416" s="3">
        <f>R416*Feuil2!$C$3</f>
        <v>0</v>
      </c>
      <c r="AH416" s="3">
        <f>S416*Feuil2!$D$3</f>
        <v>0</v>
      </c>
      <c r="AI416" s="3">
        <f>T416*Feuil2!$E$2</f>
        <v>0</v>
      </c>
      <c r="AJ416" s="3">
        <f>U416*Feuil2!$F$3</f>
        <v>12.178663361616932</v>
      </c>
      <c r="AK416" s="3">
        <f>V416*Feuil2!$G$3</f>
        <v>0</v>
      </c>
      <c r="AL416" s="3">
        <f>W416*Feuil2!$H$3</f>
        <v>0</v>
      </c>
      <c r="AM416" s="3">
        <f>X416*Feuil2!$I$2</f>
        <v>0</v>
      </c>
      <c r="AN416" s="3">
        <f>Y416*Feuil2!$J$3</f>
        <v>0</v>
      </c>
      <c r="AO416" s="3">
        <f>Z416*Feuil2!$K$3</f>
        <v>0</v>
      </c>
      <c r="AP416" s="3">
        <f>AA416*Feuil2!$L$3</f>
        <v>0</v>
      </c>
      <c r="AQ416" s="3">
        <f>AB416*Feuil2!$M$3</f>
        <v>0</v>
      </c>
      <c r="AR416" s="3">
        <f>AC416*Feuil2!$N$3</f>
        <v>11.027002939224424</v>
      </c>
    </row>
    <row r="417" spans="1:44" x14ac:dyDescent="0.35">
      <c r="A417" t="s">
        <v>815</v>
      </c>
      <c r="B417" t="s">
        <v>816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10</v>
      </c>
      <c r="K417">
        <v>0</v>
      </c>
      <c r="L417">
        <v>0</v>
      </c>
      <c r="M417">
        <v>0</v>
      </c>
      <c r="N417">
        <v>0</v>
      </c>
      <c r="O417">
        <v>10</v>
      </c>
      <c r="Q417" s="1">
        <f>C417/$C$434</f>
        <v>0</v>
      </c>
      <c r="R417" s="1">
        <f t="shared" si="89"/>
        <v>0</v>
      </c>
      <c r="S417" s="1">
        <f t="shared" si="93"/>
        <v>0</v>
      </c>
      <c r="T417" s="1">
        <f t="shared" si="94"/>
        <v>0</v>
      </c>
      <c r="U417" s="1">
        <f t="shared" si="95"/>
        <v>0</v>
      </c>
      <c r="V417" s="1">
        <f t="shared" si="96"/>
        <v>0</v>
      </c>
      <c r="W417" s="1">
        <f t="shared" si="97"/>
        <v>0</v>
      </c>
      <c r="X417" s="1">
        <f t="shared" si="98"/>
        <v>5.3424511165722831E-4</v>
      </c>
      <c r="Y417" s="1">
        <f t="shared" si="99"/>
        <v>0</v>
      </c>
      <c r="Z417" s="1">
        <f t="shared" si="90"/>
        <v>0</v>
      </c>
      <c r="AA417" s="1">
        <f t="shared" si="86"/>
        <v>0</v>
      </c>
      <c r="AB417" s="1">
        <f t="shared" si="87"/>
        <v>0</v>
      </c>
      <c r="AC417" s="1">
        <f t="shared" si="88"/>
        <v>2.6337136415831778E-5</v>
      </c>
      <c r="AD417" s="1" t="str">
        <f t="shared" si="91"/>
        <v>K   E AUTO</v>
      </c>
      <c r="AE417" s="1" t="str">
        <f t="shared" si="92"/>
        <v>6623</v>
      </c>
      <c r="AF417" s="3">
        <f>Q417*Feuil2!$B$3</f>
        <v>0</v>
      </c>
      <c r="AG417" s="3">
        <f>R417*Feuil2!$C$3</f>
        <v>0</v>
      </c>
      <c r="AH417" s="3">
        <f>S417*Feuil2!$D$3</f>
        <v>0</v>
      </c>
      <c r="AI417" s="3">
        <f>T417*Feuil2!$E$2</f>
        <v>0</v>
      </c>
      <c r="AJ417" s="3">
        <f>U417*Feuil2!$F$3</f>
        <v>0</v>
      </c>
      <c r="AK417" s="3">
        <f>V417*Feuil2!$G$3</f>
        <v>0</v>
      </c>
      <c r="AL417" s="3">
        <f>W417*Feuil2!$H$3</f>
        <v>0</v>
      </c>
      <c r="AM417" s="3">
        <f>X417*Feuil2!$I$2</f>
        <v>11.412544075221712</v>
      </c>
      <c r="AN417" s="3">
        <f>Y417*Feuil2!$J$3</f>
        <v>0</v>
      </c>
      <c r="AO417" s="3">
        <f>Z417*Feuil2!$K$3</f>
        <v>0</v>
      </c>
      <c r="AP417" s="3">
        <f>AA417*Feuil2!$L$3</f>
        <v>0</v>
      </c>
      <c r="AQ417" s="3">
        <f>AB417*Feuil2!$M$3</f>
        <v>0</v>
      </c>
      <c r="AR417" s="3">
        <f>AC417*Feuil2!$N$3</f>
        <v>11.027002939224424</v>
      </c>
    </row>
    <row r="418" spans="1:44" x14ac:dyDescent="0.35">
      <c r="A418" t="s">
        <v>817</v>
      </c>
      <c r="B418" t="s">
        <v>719</v>
      </c>
      <c r="C418">
        <v>0</v>
      </c>
      <c r="D418">
        <v>0</v>
      </c>
      <c r="E418">
        <v>10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10</v>
      </c>
      <c r="Q418" s="1">
        <f>C418/$C$434</f>
        <v>0</v>
      </c>
      <c r="R418" s="1">
        <f t="shared" si="89"/>
        <v>0</v>
      </c>
      <c r="S418" s="1">
        <f t="shared" si="93"/>
        <v>3.3945483553413216E-4</v>
      </c>
      <c r="T418" s="1">
        <f t="shared" si="94"/>
        <v>0</v>
      </c>
      <c r="U418" s="1">
        <f t="shared" si="95"/>
        <v>0</v>
      </c>
      <c r="V418" s="1">
        <f t="shared" si="96"/>
        <v>0</v>
      </c>
      <c r="W418" s="1">
        <f t="shared" si="97"/>
        <v>0</v>
      </c>
      <c r="X418" s="1">
        <f t="shared" si="98"/>
        <v>0</v>
      </c>
      <c r="Y418" s="1">
        <f t="shared" si="99"/>
        <v>0</v>
      </c>
      <c r="Z418" s="1">
        <f t="shared" si="90"/>
        <v>0</v>
      </c>
      <c r="AA418" s="1">
        <f t="shared" si="86"/>
        <v>0</v>
      </c>
      <c r="AB418" s="1">
        <f t="shared" si="87"/>
        <v>0</v>
      </c>
      <c r="AC418" s="1">
        <f t="shared" si="88"/>
        <v>2.6337136415831778E-5</v>
      </c>
      <c r="AD418" s="1" t="str">
        <f t="shared" si="91"/>
        <v>M.Brunet</v>
      </c>
      <c r="AE418" s="1" t="str">
        <f t="shared" si="92"/>
        <v>9100</v>
      </c>
      <c r="AF418" s="3">
        <f>Q418*Feuil2!$B$3</f>
        <v>0</v>
      </c>
      <c r="AG418" s="3">
        <f>R418*Feuil2!$C$3</f>
        <v>0</v>
      </c>
      <c r="AH418" s="3">
        <f>S418*Feuil2!$D$3</f>
        <v>13.33982823585322</v>
      </c>
      <c r="AI418" s="3">
        <f>T418*Feuil2!$E$2</f>
        <v>0</v>
      </c>
      <c r="AJ418" s="3">
        <f>U418*Feuil2!$F$3</f>
        <v>0</v>
      </c>
      <c r="AK418" s="3">
        <f>V418*Feuil2!$G$3</f>
        <v>0</v>
      </c>
      <c r="AL418" s="3">
        <f>W418*Feuil2!$H$3</f>
        <v>0</v>
      </c>
      <c r="AM418" s="3">
        <f>X418*Feuil2!$I$2</f>
        <v>0</v>
      </c>
      <c r="AN418" s="3">
        <f>Y418*Feuil2!$J$3</f>
        <v>0</v>
      </c>
      <c r="AO418" s="3">
        <f>Z418*Feuil2!$K$3</f>
        <v>0</v>
      </c>
      <c r="AP418" s="3">
        <f>AA418*Feuil2!$L$3</f>
        <v>0</v>
      </c>
      <c r="AQ418" s="3">
        <f>AB418*Feuil2!$M$3</f>
        <v>0</v>
      </c>
      <c r="AR418" s="3">
        <f>AC418*Feuil2!$N$3</f>
        <v>11.027002939224424</v>
      </c>
    </row>
    <row r="419" spans="1:44" x14ac:dyDescent="0.35">
      <c r="A419" t="s">
        <v>818</v>
      </c>
      <c r="B419" t="s">
        <v>819</v>
      </c>
      <c r="C419">
        <v>0</v>
      </c>
      <c r="D419">
        <v>0</v>
      </c>
      <c r="E419">
        <v>10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10</v>
      </c>
      <c r="Q419" s="1">
        <f>C419/$C$434</f>
        <v>0</v>
      </c>
      <c r="R419" s="1">
        <f t="shared" si="89"/>
        <v>0</v>
      </c>
      <c r="S419" s="1">
        <f t="shared" si="93"/>
        <v>3.3945483553413216E-4</v>
      </c>
      <c r="T419" s="1">
        <f t="shared" si="94"/>
        <v>0</v>
      </c>
      <c r="U419" s="1">
        <f t="shared" si="95"/>
        <v>0</v>
      </c>
      <c r="V419" s="1">
        <f t="shared" si="96"/>
        <v>0</v>
      </c>
      <c r="W419" s="1">
        <f t="shared" si="97"/>
        <v>0</v>
      </c>
      <c r="X419" s="1">
        <f t="shared" si="98"/>
        <v>0</v>
      </c>
      <c r="Y419" s="1">
        <f t="shared" si="99"/>
        <v>0</v>
      </c>
      <c r="Z419" s="1">
        <f t="shared" si="90"/>
        <v>0</v>
      </c>
      <c r="AA419" s="1">
        <f t="shared" si="86"/>
        <v>0</v>
      </c>
      <c r="AB419" s="1">
        <f t="shared" si="87"/>
        <v>0</v>
      </c>
      <c r="AC419" s="1">
        <f t="shared" si="88"/>
        <v>2.6337136415831778E-5</v>
      </c>
      <c r="AD419" s="1" t="str">
        <f t="shared" si="91"/>
        <v>NY AUTOMOBILES</v>
      </c>
      <c r="AE419" s="1" t="str">
        <f t="shared" si="92"/>
        <v>3292</v>
      </c>
      <c r="AF419" s="3">
        <f>Q419*Feuil2!$B$3</f>
        <v>0</v>
      </c>
      <c r="AG419" s="3">
        <f>R419*Feuil2!$C$3</f>
        <v>0</v>
      </c>
      <c r="AH419" s="3">
        <f>S419*Feuil2!$D$3</f>
        <v>13.33982823585322</v>
      </c>
      <c r="AI419" s="3">
        <f>T419*Feuil2!$E$2</f>
        <v>0</v>
      </c>
      <c r="AJ419" s="3">
        <f>U419*Feuil2!$F$3</f>
        <v>0</v>
      </c>
      <c r="AK419" s="3">
        <f>V419*Feuil2!$G$3</f>
        <v>0</v>
      </c>
      <c r="AL419" s="3">
        <f>W419*Feuil2!$H$3</f>
        <v>0</v>
      </c>
      <c r="AM419" s="3">
        <f>X419*Feuil2!$I$2</f>
        <v>0</v>
      </c>
      <c r="AN419" s="3">
        <f>Y419*Feuil2!$J$3</f>
        <v>0</v>
      </c>
      <c r="AO419" s="3">
        <f>Z419*Feuil2!$K$3</f>
        <v>0</v>
      </c>
      <c r="AP419" s="3">
        <f>AA419*Feuil2!$L$3</f>
        <v>0</v>
      </c>
      <c r="AQ419" s="3">
        <f>AB419*Feuil2!$M$3</f>
        <v>0</v>
      </c>
      <c r="AR419" s="3">
        <f>AC419*Feuil2!$N$3</f>
        <v>11.027002939224424</v>
      </c>
    </row>
    <row r="420" spans="1:44" x14ac:dyDescent="0.35">
      <c r="A420" t="s">
        <v>820</v>
      </c>
      <c r="B420" t="s">
        <v>821</v>
      </c>
      <c r="C420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10</v>
      </c>
      <c r="Q420" s="1">
        <f>C420/$C$434</f>
        <v>2.4685872275296845E-4</v>
      </c>
      <c r="R420" s="1">
        <f t="shared" si="89"/>
        <v>0</v>
      </c>
      <c r="S420" s="1">
        <f t="shared" si="93"/>
        <v>0</v>
      </c>
      <c r="T420" s="1">
        <f t="shared" si="94"/>
        <v>0</v>
      </c>
      <c r="U420" s="1">
        <f t="shared" si="95"/>
        <v>0</v>
      </c>
      <c r="V420" s="1">
        <f t="shared" si="96"/>
        <v>0</v>
      </c>
      <c r="W420" s="1">
        <f t="shared" si="97"/>
        <v>0</v>
      </c>
      <c r="X420" s="1">
        <f t="shared" si="98"/>
        <v>0</v>
      </c>
      <c r="Y420" s="1">
        <f t="shared" si="99"/>
        <v>0</v>
      </c>
      <c r="Z420" s="1">
        <f t="shared" si="90"/>
        <v>0</v>
      </c>
      <c r="AA420" s="1">
        <f t="shared" si="86"/>
        <v>0</v>
      </c>
      <c r="AB420" s="1">
        <f t="shared" si="87"/>
        <v>0</v>
      </c>
      <c r="AC420" s="1">
        <f t="shared" si="88"/>
        <v>2.6337136415831778E-5</v>
      </c>
      <c r="AD420" s="1" t="str">
        <f t="shared" si="91"/>
        <v>SCAUTO BAYEUX</v>
      </c>
      <c r="AE420" s="1" t="str">
        <f t="shared" si="92"/>
        <v>3122</v>
      </c>
      <c r="AF420" s="3">
        <f>Q420*Feuil2!$B$3</f>
        <v>8.7326075686884383</v>
      </c>
      <c r="AG420" s="3">
        <f>R420*Feuil2!$C$3</f>
        <v>0</v>
      </c>
      <c r="AH420" s="3">
        <f>S420*Feuil2!$D$3</f>
        <v>0</v>
      </c>
      <c r="AI420" s="3">
        <f>T420*Feuil2!$E$2</f>
        <v>0</v>
      </c>
      <c r="AJ420" s="3">
        <f>U420*Feuil2!$F$3</f>
        <v>0</v>
      </c>
      <c r="AK420" s="3">
        <f>V420*Feuil2!$G$3</f>
        <v>0</v>
      </c>
      <c r="AL420" s="3">
        <f>W420*Feuil2!$H$3</f>
        <v>0</v>
      </c>
      <c r="AM420" s="3">
        <f>X420*Feuil2!$I$2</f>
        <v>0</v>
      </c>
      <c r="AN420" s="3">
        <f>Y420*Feuil2!$J$3</f>
        <v>0</v>
      </c>
      <c r="AO420" s="3">
        <f>Z420*Feuil2!$K$3</f>
        <v>0</v>
      </c>
      <c r="AP420" s="3">
        <f>AA420*Feuil2!$L$3</f>
        <v>0</v>
      </c>
      <c r="AQ420" s="3">
        <f>AB420*Feuil2!$M$3</f>
        <v>0</v>
      </c>
      <c r="AR420" s="3">
        <f>AC420*Feuil2!$N$3</f>
        <v>11.027002939224424</v>
      </c>
    </row>
    <row r="421" spans="1:44" x14ac:dyDescent="0.35">
      <c r="A421" t="s">
        <v>822</v>
      </c>
      <c r="B421" t="s">
        <v>823</v>
      </c>
      <c r="C421">
        <v>0</v>
      </c>
      <c r="D421">
        <v>0</v>
      </c>
      <c r="E421">
        <v>0</v>
      </c>
      <c r="F421">
        <v>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9</v>
      </c>
      <c r="Q421" s="1">
        <f>C421/$C$434</f>
        <v>0</v>
      </c>
      <c r="R421" s="1">
        <f t="shared" si="89"/>
        <v>0</v>
      </c>
      <c r="S421" s="1">
        <f t="shared" si="93"/>
        <v>0</v>
      </c>
      <c r="T421" s="1">
        <f t="shared" si="94"/>
        <v>3.6140224069389231E-4</v>
      </c>
      <c r="U421" s="1">
        <f t="shared" si="95"/>
        <v>0</v>
      </c>
      <c r="V421" s="1">
        <f t="shared" si="96"/>
        <v>0</v>
      </c>
      <c r="W421" s="1">
        <f t="shared" si="97"/>
        <v>0</v>
      </c>
      <c r="X421" s="1">
        <f t="shared" si="98"/>
        <v>0</v>
      </c>
      <c r="Y421" s="1">
        <f t="shared" si="99"/>
        <v>0</v>
      </c>
      <c r="Z421" s="1">
        <f t="shared" si="90"/>
        <v>0</v>
      </c>
      <c r="AA421" s="1">
        <f t="shared" si="86"/>
        <v>0</v>
      </c>
      <c r="AB421" s="1">
        <f t="shared" si="87"/>
        <v>0</v>
      </c>
      <c r="AC421" s="1">
        <f t="shared" si="88"/>
        <v>2.3703422774248603E-5</v>
      </c>
      <c r="AD421" s="1" t="str">
        <f t="shared" si="91"/>
        <v>CAEN AUTOMOBILES SARL</v>
      </c>
      <c r="AE421" s="1" t="str">
        <f t="shared" si="92"/>
        <v>3426</v>
      </c>
      <c r="AF421" s="3">
        <f>Q421*Feuil2!$B$3</f>
        <v>0</v>
      </c>
      <c r="AG421" s="3">
        <f>R421*Feuil2!$C$3</f>
        <v>0</v>
      </c>
      <c r="AH421" s="3">
        <f>S421*Feuil2!$D$3</f>
        <v>0</v>
      </c>
      <c r="AI421" s="3">
        <f>T421*Feuil2!$E$2</f>
        <v>13.546440187929166</v>
      </c>
      <c r="AJ421" s="3">
        <f>U421*Feuil2!$F$3</f>
        <v>0</v>
      </c>
      <c r="AK421" s="3">
        <f>V421*Feuil2!$G$3</f>
        <v>0</v>
      </c>
      <c r="AL421" s="3">
        <f>W421*Feuil2!$H$3</f>
        <v>0</v>
      </c>
      <c r="AM421" s="3">
        <f>X421*Feuil2!$I$2</f>
        <v>0</v>
      </c>
      <c r="AN421" s="3">
        <f>Y421*Feuil2!$J$3</f>
        <v>0</v>
      </c>
      <c r="AO421" s="3">
        <f>Z421*Feuil2!$K$3</f>
        <v>0</v>
      </c>
      <c r="AP421" s="3">
        <f>AA421*Feuil2!$L$3</f>
        <v>0</v>
      </c>
      <c r="AQ421" s="3">
        <f>AB421*Feuil2!$M$3</f>
        <v>0</v>
      </c>
      <c r="AR421" s="3">
        <f>AC421*Feuil2!$N$3</f>
        <v>9.9243026453019834</v>
      </c>
    </row>
    <row r="422" spans="1:44" x14ac:dyDescent="0.35">
      <c r="A422" t="s">
        <v>824</v>
      </c>
      <c r="B422" t="s">
        <v>825</v>
      </c>
      <c r="C422">
        <v>0</v>
      </c>
      <c r="D422">
        <v>0</v>
      </c>
      <c r="E422">
        <v>0</v>
      </c>
      <c r="F422">
        <v>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9</v>
      </c>
      <c r="Q422" s="1">
        <f>C422/$C$434</f>
        <v>0</v>
      </c>
      <c r="R422" s="1">
        <f t="shared" si="89"/>
        <v>0</v>
      </c>
      <c r="S422" s="1">
        <f t="shared" si="93"/>
        <v>0</v>
      </c>
      <c r="T422" s="1">
        <f t="shared" si="94"/>
        <v>3.6140224069389231E-4</v>
      </c>
      <c r="U422" s="1">
        <f t="shared" si="95"/>
        <v>0</v>
      </c>
      <c r="V422" s="1">
        <f t="shared" si="96"/>
        <v>0</v>
      </c>
      <c r="W422" s="1">
        <f t="shared" si="97"/>
        <v>0</v>
      </c>
      <c r="X422" s="1">
        <f t="shared" si="98"/>
        <v>0</v>
      </c>
      <c r="Y422" s="1">
        <f t="shared" si="99"/>
        <v>0</v>
      </c>
      <c r="Z422" s="1">
        <f t="shared" si="90"/>
        <v>0</v>
      </c>
      <c r="AA422" s="1">
        <f t="shared" si="86"/>
        <v>0</v>
      </c>
      <c r="AB422" s="1">
        <f t="shared" si="87"/>
        <v>0</v>
      </c>
      <c r="AC422" s="1">
        <f t="shared" si="88"/>
        <v>2.3703422774248603E-5</v>
      </c>
      <c r="AD422" s="1" t="str">
        <f t="shared" si="91"/>
        <v>CORVEE</v>
      </c>
      <c r="AE422" s="1" t="str">
        <f t="shared" si="92"/>
        <v>9122</v>
      </c>
      <c r="AF422" s="3">
        <f>Q422*Feuil2!$B$3</f>
        <v>0</v>
      </c>
      <c r="AG422" s="3">
        <f>R422*Feuil2!$C$3</f>
        <v>0</v>
      </c>
      <c r="AH422" s="3">
        <f>S422*Feuil2!$D$3</f>
        <v>0</v>
      </c>
      <c r="AI422" s="3">
        <f>T422*Feuil2!$E$2</f>
        <v>13.546440187929166</v>
      </c>
      <c r="AJ422" s="3">
        <f>U422*Feuil2!$F$3</f>
        <v>0</v>
      </c>
      <c r="AK422" s="3">
        <f>V422*Feuil2!$G$3</f>
        <v>0</v>
      </c>
      <c r="AL422" s="3">
        <f>W422*Feuil2!$H$3</f>
        <v>0</v>
      </c>
      <c r="AM422" s="3">
        <f>X422*Feuil2!$I$2</f>
        <v>0</v>
      </c>
      <c r="AN422" s="3">
        <f>Y422*Feuil2!$J$3</f>
        <v>0</v>
      </c>
      <c r="AO422" s="3">
        <f>Z422*Feuil2!$K$3</f>
        <v>0</v>
      </c>
      <c r="AP422" s="3">
        <f>AA422*Feuil2!$L$3</f>
        <v>0</v>
      </c>
      <c r="AQ422" s="3">
        <f>AB422*Feuil2!$M$3</f>
        <v>0</v>
      </c>
      <c r="AR422" s="3">
        <f>AC422*Feuil2!$N$3</f>
        <v>9.9243026453019834</v>
      </c>
    </row>
    <row r="423" spans="1:44" x14ac:dyDescent="0.35">
      <c r="A423" t="s">
        <v>826</v>
      </c>
      <c r="B423" t="s">
        <v>826</v>
      </c>
      <c r="C423">
        <v>0</v>
      </c>
      <c r="D423">
        <v>8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8</v>
      </c>
      <c r="Q423" s="1">
        <f>C423/$C$434</f>
        <v>0</v>
      </c>
      <c r="R423" s="1">
        <f t="shared" si="89"/>
        <v>3.3723969311187928E-4</v>
      </c>
      <c r="S423" s="1">
        <f t="shared" si="93"/>
        <v>0</v>
      </c>
      <c r="T423" s="1">
        <f t="shared" si="94"/>
        <v>0</v>
      </c>
      <c r="U423" s="1">
        <f t="shared" si="95"/>
        <v>0</v>
      </c>
      <c r="V423" s="1">
        <f t="shared" si="96"/>
        <v>0</v>
      </c>
      <c r="W423" s="1">
        <f t="shared" si="97"/>
        <v>0</v>
      </c>
      <c r="X423" s="1">
        <f t="shared" si="98"/>
        <v>0</v>
      </c>
      <c r="Y423" s="1">
        <f t="shared" si="99"/>
        <v>0</v>
      </c>
      <c r="Z423" s="1">
        <f t="shared" si="90"/>
        <v>0</v>
      </c>
      <c r="AA423" s="1">
        <f t="shared" si="86"/>
        <v>0</v>
      </c>
      <c r="AB423" s="1">
        <f t="shared" si="87"/>
        <v>0</v>
      </c>
      <c r="AC423" s="1">
        <f t="shared" si="88"/>
        <v>2.1069709132665425E-5</v>
      </c>
      <c r="AD423" s="1" t="str">
        <f t="shared" si="91"/>
        <v>7017</v>
      </c>
      <c r="AE423" s="1" t="str">
        <f t="shared" si="92"/>
        <v>7017</v>
      </c>
      <c r="AF423" s="3">
        <f>Q423*Feuil2!$B$3</f>
        <v>0</v>
      </c>
      <c r="AG423" s="3">
        <f>R423*Feuil2!$C$3</f>
        <v>11.929827164657279</v>
      </c>
      <c r="AH423" s="3">
        <f>S423*Feuil2!$D$3</f>
        <v>0</v>
      </c>
      <c r="AI423" s="3">
        <f>T423*Feuil2!$E$2</f>
        <v>0</v>
      </c>
      <c r="AJ423" s="3">
        <f>U423*Feuil2!$F$3</f>
        <v>0</v>
      </c>
      <c r="AK423" s="3">
        <f>V423*Feuil2!$G$3</f>
        <v>0</v>
      </c>
      <c r="AL423" s="3">
        <f>W423*Feuil2!$H$3</f>
        <v>0</v>
      </c>
      <c r="AM423" s="3">
        <f>X423*Feuil2!$I$2</f>
        <v>0</v>
      </c>
      <c r="AN423" s="3">
        <f>Y423*Feuil2!$J$3</f>
        <v>0</v>
      </c>
      <c r="AO423" s="3">
        <f>Z423*Feuil2!$K$3</f>
        <v>0</v>
      </c>
      <c r="AP423" s="3">
        <f>AA423*Feuil2!$L$3</f>
        <v>0</v>
      </c>
      <c r="AQ423" s="3">
        <f>AB423*Feuil2!$M$3</f>
        <v>0</v>
      </c>
      <c r="AR423" s="3">
        <f>AC423*Feuil2!$N$3</f>
        <v>8.821602351379541</v>
      </c>
    </row>
    <row r="424" spans="1:44" x14ac:dyDescent="0.35">
      <c r="A424" t="s">
        <v>827</v>
      </c>
      <c r="B424" t="s">
        <v>825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8</v>
      </c>
      <c r="M424">
        <v>0</v>
      </c>
      <c r="N424">
        <v>0</v>
      </c>
      <c r="O424">
        <v>8</v>
      </c>
      <c r="Q424" s="1">
        <f>C424/$C$434</f>
        <v>0</v>
      </c>
      <c r="R424" s="1">
        <f t="shared" si="89"/>
        <v>0</v>
      </c>
      <c r="S424" s="1">
        <f t="shared" si="93"/>
        <v>0</v>
      </c>
      <c r="T424" s="1">
        <f t="shared" si="94"/>
        <v>0</v>
      </c>
      <c r="U424" s="1">
        <f t="shared" si="95"/>
        <v>0</v>
      </c>
      <c r="V424" s="1">
        <f t="shared" si="96"/>
        <v>0</v>
      </c>
      <c r="W424" s="1">
        <f t="shared" si="97"/>
        <v>0</v>
      </c>
      <c r="X424" s="1">
        <f t="shared" si="98"/>
        <v>0</v>
      </c>
      <c r="Y424" s="1">
        <f t="shared" si="99"/>
        <v>0</v>
      </c>
      <c r="Z424" s="1">
        <f t="shared" si="90"/>
        <v>2.0300446609825416E-4</v>
      </c>
      <c r="AA424" s="1">
        <f t="shared" si="86"/>
        <v>0</v>
      </c>
      <c r="AB424" s="1">
        <f t="shared" si="87"/>
        <v>0</v>
      </c>
      <c r="AC424" s="1">
        <f t="shared" si="88"/>
        <v>2.1069709132665425E-5</v>
      </c>
      <c r="AD424" s="1" t="str">
        <f t="shared" si="91"/>
        <v>DELAUNAY</v>
      </c>
      <c r="AE424" s="1" t="str">
        <f t="shared" si="92"/>
        <v>9122</v>
      </c>
      <c r="AF424" s="3">
        <f>Q424*Feuil2!$B$3</f>
        <v>0</v>
      </c>
      <c r="AG424" s="3">
        <f>R424*Feuil2!$C$3</f>
        <v>0</v>
      </c>
      <c r="AH424" s="3">
        <f>S424*Feuil2!$D$3</f>
        <v>0</v>
      </c>
      <c r="AI424" s="3">
        <f>T424*Feuil2!$E$2</f>
        <v>0</v>
      </c>
      <c r="AJ424" s="3">
        <f>U424*Feuil2!$F$3</f>
        <v>0</v>
      </c>
      <c r="AK424" s="3">
        <f>V424*Feuil2!$G$3</f>
        <v>0</v>
      </c>
      <c r="AL424" s="3">
        <f>W424*Feuil2!$H$3</f>
        <v>0</v>
      </c>
      <c r="AM424" s="3">
        <f>X424*Feuil2!$I$2</f>
        <v>0</v>
      </c>
      <c r="AN424" s="3">
        <f>Y424*Feuil2!$J$3</f>
        <v>0</v>
      </c>
      <c r="AO424" s="3">
        <f>Z424*Feuil2!$K$3</f>
        <v>8.1785870889159558</v>
      </c>
      <c r="AP424" s="3">
        <f>AA424*Feuil2!$L$3</f>
        <v>0</v>
      </c>
      <c r="AQ424" s="3">
        <f>AB424*Feuil2!$M$3</f>
        <v>0</v>
      </c>
      <c r="AR424" s="3">
        <f>AC424*Feuil2!$N$3</f>
        <v>8.821602351379541</v>
      </c>
    </row>
    <row r="425" spans="1:44" x14ac:dyDescent="0.35">
      <c r="A425" t="s">
        <v>828</v>
      </c>
      <c r="B425" t="s">
        <v>598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8</v>
      </c>
      <c r="L425">
        <v>0</v>
      </c>
      <c r="M425">
        <v>0</v>
      </c>
      <c r="N425">
        <v>0</v>
      </c>
      <c r="O425">
        <v>8</v>
      </c>
      <c r="Q425" s="1">
        <f>C425/$C$434</f>
        <v>0</v>
      </c>
      <c r="R425" s="1">
        <f t="shared" si="89"/>
        <v>0</v>
      </c>
      <c r="S425" s="1">
        <f t="shared" si="93"/>
        <v>0</v>
      </c>
      <c r="T425" s="1">
        <f t="shared" si="94"/>
        <v>0</v>
      </c>
      <c r="U425" s="1">
        <f t="shared" si="95"/>
        <v>0</v>
      </c>
      <c r="V425" s="1">
        <f t="shared" si="96"/>
        <v>0</v>
      </c>
      <c r="W425" s="1">
        <f t="shared" si="97"/>
        <v>0</v>
      </c>
      <c r="X425" s="1">
        <f t="shared" si="98"/>
        <v>0</v>
      </c>
      <c r="Y425" s="1">
        <f t="shared" si="99"/>
        <v>2.0474496455352801E-4</v>
      </c>
      <c r="Z425" s="1">
        <f t="shared" si="90"/>
        <v>0</v>
      </c>
      <c r="AA425" s="1">
        <f t="shared" si="86"/>
        <v>0</v>
      </c>
      <c r="AB425" s="1">
        <f t="shared" si="87"/>
        <v>0</v>
      </c>
      <c r="AC425" s="1">
        <f t="shared" si="88"/>
        <v>2.1069709132665425E-5</v>
      </c>
      <c r="AD425" s="1" t="str">
        <f t="shared" si="91"/>
        <v>htl transport</v>
      </c>
      <c r="AE425" s="1" t="str">
        <f t="shared" si="92"/>
        <v>9133</v>
      </c>
      <c r="AF425" s="3">
        <f>Q425*Feuil2!$B$3</f>
        <v>0</v>
      </c>
      <c r="AG425" s="3">
        <f>R425*Feuil2!$C$3</f>
        <v>0</v>
      </c>
      <c r="AH425" s="3">
        <f>S425*Feuil2!$D$3</f>
        <v>0</v>
      </c>
      <c r="AI425" s="3">
        <f>T425*Feuil2!$E$2</f>
        <v>0</v>
      </c>
      <c r="AJ425" s="3">
        <f>U425*Feuil2!$F$3</f>
        <v>0</v>
      </c>
      <c r="AK425" s="3">
        <f>V425*Feuil2!$G$3</f>
        <v>0</v>
      </c>
      <c r="AL425" s="3">
        <f>W425*Feuil2!$H$3</f>
        <v>0</v>
      </c>
      <c r="AM425" s="3">
        <f>X425*Feuil2!$I$2</f>
        <v>0</v>
      </c>
      <c r="AN425" s="3">
        <f>Y425*Feuil2!$J$3</f>
        <v>8.651056228085892</v>
      </c>
      <c r="AO425" s="3">
        <f>Z425*Feuil2!$K$3</f>
        <v>0</v>
      </c>
      <c r="AP425" s="3">
        <f>AA425*Feuil2!$L$3</f>
        <v>0</v>
      </c>
      <c r="AQ425" s="3">
        <f>AB425*Feuil2!$M$3</f>
        <v>0</v>
      </c>
      <c r="AR425" s="3">
        <f>AC425*Feuil2!$N$3</f>
        <v>8.821602351379541</v>
      </c>
    </row>
    <row r="426" spans="1:44" x14ac:dyDescent="0.35">
      <c r="A426" t="s">
        <v>829</v>
      </c>
      <c r="B426" t="s">
        <v>830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8</v>
      </c>
      <c r="L426">
        <v>0</v>
      </c>
      <c r="M426">
        <v>0</v>
      </c>
      <c r="N426">
        <v>0</v>
      </c>
      <c r="O426">
        <v>8</v>
      </c>
      <c r="Q426" s="1">
        <f>C426/$C$434</f>
        <v>0</v>
      </c>
      <c r="R426" s="1">
        <f t="shared" si="89"/>
        <v>0</v>
      </c>
      <c r="S426" s="1">
        <f t="shared" si="93"/>
        <v>0</v>
      </c>
      <c r="T426" s="1">
        <f t="shared" si="94"/>
        <v>0</v>
      </c>
      <c r="U426" s="1">
        <f t="shared" si="95"/>
        <v>0</v>
      </c>
      <c r="V426" s="1">
        <f t="shared" si="96"/>
        <v>0</v>
      </c>
      <c r="W426" s="1">
        <f t="shared" si="97"/>
        <v>0</v>
      </c>
      <c r="X426" s="1">
        <f t="shared" si="98"/>
        <v>0</v>
      </c>
      <c r="Y426" s="1">
        <f t="shared" si="99"/>
        <v>2.0474496455352801E-4</v>
      </c>
      <c r="Z426" s="1">
        <f t="shared" si="90"/>
        <v>0</v>
      </c>
      <c r="AA426" s="1">
        <f t="shared" si="86"/>
        <v>0</v>
      </c>
      <c r="AB426" s="1">
        <f t="shared" si="87"/>
        <v>0</v>
      </c>
      <c r="AC426" s="1">
        <f t="shared" si="88"/>
        <v>2.1069709132665425E-5</v>
      </c>
      <c r="AD426" s="1" t="str">
        <f t="shared" si="91"/>
        <v>VAUQUELIN XAVIER</v>
      </c>
      <c r="AE426" s="1" t="str">
        <f t="shared" si="92"/>
        <v>3379</v>
      </c>
      <c r="AF426" s="3">
        <f>Q426*Feuil2!$B$3</f>
        <v>0</v>
      </c>
      <c r="AG426" s="3">
        <f>R426*Feuil2!$C$3</f>
        <v>0</v>
      </c>
      <c r="AH426" s="3">
        <f>S426*Feuil2!$D$3</f>
        <v>0</v>
      </c>
      <c r="AI426" s="3">
        <f>T426*Feuil2!$E$2</f>
        <v>0</v>
      </c>
      <c r="AJ426" s="3">
        <f>U426*Feuil2!$F$3</f>
        <v>0</v>
      </c>
      <c r="AK426" s="3">
        <f>V426*Feuil2!$G$3</f>
        <v>0</v>
      </c>
      <c r="AL426" s="3">
        <f>W426*Feuil2!$H$3</f>
        <v>0</v>
      </c>
      <c r="AM426" s="3">
        <f>X426*Feuil2!$I$2</f>
        <v>0</v>
      </c>
      <c r="AN426" s="3">
        <f>Y426*Feuil2!$J$3</f>
        <v>8.651056228085892</v>
      </c>
      <c r="AO426" s="3">
        <f>Z426*Feuil2!$K$3</f>
        <v>0</v>
      </c>
      <c r="AP426" s="3">
        <f>AA426*Feuil2!$L$3</f>
        <v>0</v>
      </c>
      <c r="AQ426" s="3">
        <f>AB426*Feuil2!$M$3</f>
        <v>0</v>
      </c>
      <c r="AR426" s="3">
        <f>AC426*Feuil2!$N$3</f>
        <v>8.821602351379541</v>
      </c>
    </row>
    <row r="427" spans="1:44" x14ac:dyDescent="0.35">
      <c r="A427" t="s">
        <v>831</v>
      </c>
      <c r="B427" t="s">
        <v>825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7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Q427" s="1">
        <f>C427/$C$434</f>
        <v>0</v>
      </c>
      <c r="R427" s="1">
        <f t="shared" si="89"/>
        <v>0</v>
      </c>
      <c r="S427" s="1">
        <f t="shared" si="93"/>
        <v>0</v>
      </c>
      <c r="T427" s="1">
        <f t="shared" si="94"/>
        <v>0</v>
      </c>
      <c r="U427" s="1">
        <f t="shared" si="95"/>
        <v>0</v>
      </c>
      <c r="V427" s="1">
        <f t="shared" si="96"/>
        <v>2.3432531048103638E-4</v>
      </c>
      <c r="W427" s="1">
        <f t="shared" si="97"/>
        <v>0</v>
      </c>
      <c r="X427" s="1">
        <f t="shared" si="98"/>
        <v>0</v>
      </c>
      <c r="Y427" s="1">
        <f t="shared" si="99"/>
        <v>0</v>
      </c>
      <c r="Z427" s="1">
        <f t="shared" si="90"/>
        <v>0</v>
      </c>
      <c r="AA427" s="1">
        <f t="shared" si="86"/>
        <v>0</v>
      </c>
      <c r="AB427" s="1">
        <f t="shared" si="87"/>
        <v>0</v>
      </c>
      <c r="AC427" s="1">
        <f t="shared" si="88"/>
        <v>1.8435995491082246E-5</v>
      </c>
      <c r="AD427" s="1" t="str">
        <f t="shared" si="91"/>
        <v>m amaury laurent</v>
      </c>
      <c r="AE427" s="1" t="str">
        <f t="shared" si="92"/>
        <v>9122</v>
      </c>
      <c r="AF427" s="3">
        <f>Q427*Feuil2!$B$3</f>
        <v>0</v>
      </c>
      <c r="AG427" s="3">
        <f>R427*Feuil2!$C$3</f>
        <v>0</v>
      </c>
      <c r="AH427" s="3">
        <f>S427*Feuil2!$D$3</f>
        <v>0</v>
      </c>
      <c r="AI427" s="3">
        <f>T427*Feuil2!$E$2</f>
        <v>0</v>
      </c>
      <c r="AJ427" s="3">
        <f>U427*Feuil2!$F$3</f>
        <v>0</v>
      </c>
      <c r="AK427" s="3">
        <f>V427*Feuil2!$G$3</f>
        <v>9.4404324975730596</v>
      </c>
      <c r="AL427" s="3">
        <f>W427*Feuil2!$H$3</f>
        <v>0</v>
      </c>
      <c r="AM427" s="3">
        <f>X427*Feuil2!$I$2</f>
        <v>0</v>
      </c>
      <c r="AN427" s="3">
        <f>Y427*Feuil2!$J$3</f>
        <v>0</v>
      </c>
      <c r="AO427" s="3">
        <f>Z427*Feuil2!$K$3</f>
        <v>0</v>
      </c>
      <c r="AP427" s="3">
        <f>AA427*Feuil2!$L$3</f>
        <v>0</v>
      </c>
      <c r="AQ427" s="3">
        <f>AB427*Feuil2!$M$3</f>
        <v>0</v>
      </c>
      <c r="AR427" s="3">
        <f>AC427*Feuil2!$N$3</f>
        <v>7.7189020574570977</v>
      </c>
    </row>
    <row r="428" spans="1:44" x14ac:dyDescent="0.35">
      <c r="A428" t="s">
        <v>832</v>
      </c>
      <c r="B428" t="s">
        <v>762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7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7</v>
      </c>
      <c r="Q428" s="1">
        <f>C428/$C$434</f>
        <v>0</v>
      </c>
      <c r="R428" s="1">
        <f t="shared" si="89"/>
        <v>0</v>
      </c>
      <c r="S428" s="1">
        <f t="shared" si="93"/>
        <v>0</v>
      </c>
      <c r="T428" s="1">
        <f t="shared" si="94"/>
        <v>0</v>
      </c>
      <c r="U428" s="1">
        <f t="shared" si="95"/>
        <v>0</v>
      </c>
      <c r="V428" s="1">
        <f t="shared" si="96"/>
        <v>2.3432531048103638E-4</v>
      </c>
      <c r="W428" s="1">
        <f t="shared" si="97"/>
        <v>0</v>
      </c>
      <c r="X428" s="1">
        <f t="shared" si="98"/>
        <v>0</v>
      </c>
      <c r="Y428" s="1">
        <f t="shared" si="99"/>
        <v>0</v>
      </c>
      <c r="Z428" s="1">
        <f t="shared" si="90"/>
        <v>0</v>
      </c>
      <c r="AA428" s="1">
        <f t="shared" si="86"/>
        <v>0</v>
      </c>
      <c r="AB428" s="1">
        <f t="shared" si="87"/>
        <v>0</v>
      </c>
      <c r="AC428" s="1">
        <f t="shared" si="88"/>
        <v>1.8435995491082246E-5</v>
      </c>
      <c r="AD428" s="1" t="str">
        <f t="shared" si="91"/>
        <v>Marty</v>
      </c>
      <c r="AE428" s="1" t="str">
        <f t="shared" si="92"/>
        <v>9700</v>
      </c>
      <c r="AF428" s="3">
        <f>Q428*Feuil2!$B$3</f>
        <v>0</v>
      </c>
      <c r="AG428" s="3">
        <f>R428*Feuil2!$C$3</f>
        <v>0</v>
      </c>
      <c r="AH428" s="3">
        <f>S428*Feuil2!$D$3</f>
        <v>0</v>
      </c>
      <c r="AI428" s="3">
        <f>T428*Feuil2!$E$2</f>
        <v>0</v>
      </c>
      <c r="AJ428" s="3">
        <f>U428*Feuil2!$F$3</f>
        <v>0</v>
      </c>
      <c r="AK428" s="3">
        <f>V428*Feuil2!$G$3</f>
        <v>9.4404324975730596</v>
      </c>
      <c r="AL428" s="3">
        <f>W428*Feuil2!$H$3</f>
        <v>0</v>
      </c>
      <c r="AM428" s="3">
        <f>X428*Feuil2!$I$2</f>
        <v>0</v>
      </c>
      <c r="AN428" s="3">
        <f>Y428*Feuil2!$J$3</f>
        <v>0</v>
      </c>
      <c r="AO428" s="3">
        <f>Z428*Feuil2!$K$3</f>
        <v>0</v>
      </c>
      <c r="AP428" s="3">
        <f>AA428*Feuil2!$L$3</f>
        <v>0</v>
      </c>
      <c r="AQ428" s="3">
        <f>AB428*Feuil2!$M$3</f>
        <v>0</v>
      </c>
      <c r="AR428" s="3">
        <f>AC428*Feuil2!$N$3</f>
        <v>7.7189020574570977</v>
      </c>
    </row>
    <row r="429" spans="1:44" x14ac:dyDescent="0.35">
      <c r="A429" t="s">
        <v>833</v>
      </c>
      <c r="B429" t="s">
        <v>825</v>
      </c>
      <c r="C429">
        <v>0</v>
      </c>
      <c r="D429">
        <v>0</v>
      </c>
      <c r="E429">
        <v>0</v>
      </c>
      <c r="F429">
        <v>0</v>
      </c>
      <c r="G429">
        <v>7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7</v>
      </c>
      <c r="Q429" s="1">
        <f>C429/$C$434</f>
        <v>0</v>
      </c>
      <c r="R429" s="1">
        <f t="shared" si="89"/>
        <v>0</v>
      </c>
      <c r="S429" s="1">
        <f t="shared" si="93"/>
        <v>0</v>
      </c>
      <c r="T429" s="1">
        <f t="shared" si="94"/>
        <v>0</v>
      </c>
      <c r="U429" s="1">
        <f t="shared" si="95"/>
        <v>3.3368290590142052E-4</v>
      </c>
      <c r="V429" s="1">
        <f t="shared" si="96"/>
        <v>0</v>
      </c>
      <c r="W429" s="1">
        <f t="shared" si="97"/>
        <v>0</v>
      </c>
      <c r="X429" s="1">
        <f t="shared" si="98"/>
        <v>0</v>
      </c>
      <c r="Y429" s="1">
        <f t="shared" si="99"/>
        <v>0</v>
      </c>
      <c r="Z429" s="1">
        <f t="shared" si="90"/>
        <v>0</v>
      </c>
      <c r="AA429" s="1">
        <f t="shared" si="86"/>
        <v>0</v>
      </c>
      <c r="AB429" s="1">
        <f t="shared" si="87"/>
        <v>0</v>
      </c>
      <c r="AC429" s="1">
        <f t="shared" si="88"/>
        <v>1.8435995491082246E-5</v>
      </c>
      <c r="AD429" s="1" t="str">
        <f t="shared" si="91"/>
        <v>MICHAEL JARRY</v>
      </c>
      <c r="AE429" s="1" t="str">
        <f t="shared" si="92"/>
        <v>9122</v>
      </c>
      <c r="AF429" s="3">
        <f>Q429*Feuil2!$B$3</f>
        <v>0</v>
      </c>
      <c r="AG429" s="3">
        <f>R429*Feuil2!$C$3</f>
        <v>0</v>
      </c>
      <c r="AH429" s="3">
        <f>S429*Feuil2!$D$3</f>
        <v>0</v>
      </c>
      <c r="AI429" s="3">
        <f>T429*Feuil2!$E$2</f>
        <v>0</v>
      </c>
      <c r="AJ429" s="3">
        <f>U429*Feuil2!$F$3</f>
        <v>8.5250643531318531</v>
      </c>
      <c r="AK429" s="3">
        <f>V429*Feuil2!$G$3</f>
        <v>0</v>
      </c>
      <c r="AL429" s="3">
        <f>W429*Feuil2!$H$3</f>
        <v>0</v>
      </c>
      <c r="AM429" s="3">
        <f>X429*Feuil2!$I$2</f>
        <v>0</v>
      </c>
      <c r="AN429" s="3">
        <f>Y429*Feuil2!$J$3</f>
        <v>0</v>
      </c>
      <c r="AO429" s="3">
        <f>Z429*Feuil2!$K$3</f>
        <v>0</v>
      </c>
      <c r="AP429" s="3">
        <f>AA429*Feuil2!$L$3</f>
        <v>0</v>
      </c>
      <c r="AQ429" s="3">
        <f>AB429*Feuil2!$M$3</f>
        <v>0</v>
      </c>
      <c r="AR429" s="3">
        <f>AC429*Feuil2!$N$3</f>
        <v>7.7189020574570977</v>
      </c>
    </row>
    <row r="430" spans="1:44" x14ac:dyDescent="0.35">
      <c r="A430" t="s">
        <v>834</v>
      </c>
      <c r="B430" t="s">
        <v>719</v>
      </c>
      <c r="C430">
        <v>6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6</v>
      </c>
      <c r="Q430" s="1">
        <f>C430/$C$434</f>
        <v>1.481152336517811E-4</v>
      </c>
      <c r="R430" s="1">
        <f t="shared" si="89"/>
        <v>0</v>
      </c>
      <c r="S430" s="1">
        <f t="shared" si="93"/>
        <v>0</v>
      </c>
      <c r="T430" s="1">
        <f t="shared" si="94"/>
        <v>0</v>
      </c>
      <c r="U430" s="1">
        <f t="shared" si="95"/>
        <v>0</v>
      </c>
      <c r="V430" s="1">
        <f t="shared" si="96"/>
        <v>0</v>
      </c>
      <c r="W430" s="1">
        <f t="shared" si="97"/>
        <v>0</v>
      </c>
      <c r="X430" s="1">
        <f t="shared" si="98"/>
        <v>0</v>
      </c>
      <c r="Y430" s="1">
        <f t="shared" si="99"/>
        <v>0</v>
      </c>
      <c r="Z430" s="1">
        <f t="shared" si="90"/>
        <v>0</v>
      </c>
      <c r="AA430" s="1">
        <f t="shared" si="86"/>
        <v>0</v>
      </c>
      <c r="AB430" s="1">
        <f t="shared" si="87"/>
        <v>0</v>
      </c>
      <c r="AC430" s="1">
        <f t="shared" si="88"/>
        <v>1.5802281849499068E-5</v>
      </c>
      <c r="AD430" s="1" t="str">
        <f t="shared" si="91"/>
        <v>M.JACQUETTE</v>
      </c>
      <c r="AE430" s="1" t="str">
        <f t="shared" si="92"/>
        <v>9100</v>
      </c>
      <c r="AF430" s="3">
        <f>Q430*Feuil2!$B$3</f>
        <v>5.2395645412130643</v>
      </c>
      <c r="AG430" s="3">
        <f>R430*Feuil2!$C$3</f>
        <v>0</v>
      </c>
      <c r="AH430" s="3">
        <f>S430*Feuil2!$D$3</f>
        <v>0</v>
      </c>
      <c r="AI430" s="3">
        <f>T430*Feuil2!$E$2</f>
        <v>0</v>
      </c>
      <c r="AJ430" s="3">
        <f>U430*Feuil2!$F$3</f>
        <v>0</v>
      </c>
      <c r="AK430" s="3">
        <f>V430*Feuil2!$G$3</f>
        <v>0</v>
      </c>
      <c r="AL430" s="3">
        <f>W430*Feuil2!$H$3</f>
        <v>0</v>
      </c>
      <c r="AM430" s="3">
        <f>X430*Feuil2!$I$2</f>
        <v>0</v>
      </c>
      <c r="AN430" s="3">
        <f>Y430*Feuil2!$J$3</f>
        <v>0</v>
      </c>
      <c r="AO430" s="3">
        <f>Z430*Feuil2!$K$3</f>
        <v>0</v>
      </c>
      <c r="AP430" s="3">
        <f>AA430*Feuil2!$L$3</f>
        <v>0</v>
      </c>
      <c r="AQ430" s="3">
        <f>AB430*Feuil2!$M$3</f>
        <v>0</v>
      </c>
      <c r="AR430" s="3">
        <f>AC430*Feuil2!$N$3</f>
        <v>6.6162017635346553</v>
      </c>
    </row>
    <row r="431" spans="1:44" x14ac:dyDescent="0.35">
      <c r="A431" t="s">
        <v>835</v>
      </c>
      <c r="B431" t="s">
        <v>836</v>
      </c>
      <c r="C431">
        <v>5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5</v>
      </c>
      <c r="Q431" s="1">
        <f>C431/$C$434</f>
        <v>1.2342936137648422E-4</v>
      </c>
      <c r="R431" s="1">
        <f t="shared" si="89"/>
        <v>0</v>
      </c>
      <c r="S431" s="1">
        <f t="shared" si="93"/>
        <v>0</v>
      </c>
      <c r="T431" s="1">
        <f t="shared" si="94"/>
        <v>0</v>
      </c>
      <c r="U431" s="1">
        <f t="shared" si="95"/>
        <v>0</v>
      </c>
      <c r="V431" s="1">
        <f t="shared" si="96"/>
        <v>0</v>
      </c>
      <c r="W431" s="1">
        <f t="shared" si="97"/>
        <v>0</v>
      </c>
      <c r="X431" s="1">
        <f t="shared" si="98"/>
        <v>0</v>
      </c>
      <c r="Y431" s="1">
        <f t="shared" si="99"/>
        <v>0</v>
      </c>
      <c r="Z431" s="1">
        <f t="shared" si="90"/>
        <v>0</v>
      </c>
      <c r="AA431" s="1">
        <f t="shared" si="86"/>
        <v>0</v>
      </c>
      <c r="AB431" s="1">
        <f t="shared" si="87"/>
        <v>0</v>
      </c>
      <c r="AC431" s="1">
        <f t="shared" si="88"/>
        <v>1.3168568207915889E-5</v>
      </c>
      <c r="AD431" s="1" t="str">
        <f t="shared" si="91"/>
        <v>BARBE</v>
      </c>
      <c r="AE431" s="1" t="str">
        <f t="shared" si="92"/>
        <v>5190</v>
      </c>
      <c r="AF431" s="3">
        <f>Q431*Feuil2!$B$3</f>
        <v>4.3663037843442192</v>
      </c>
      <c r="AG431" s="3">
        <f>R431*Feuil2!$C$3</f>
        <v>0</v>
      </c>
      <c r="AH431" s="3">
        <f>S431*Feuil2!$D$3</f>
        <v>0</v>
      </c>
      <c r="AI431" s="3">
        <f>T431*Feuil2!$E$2</f>
        <v>0</v>
      </c>
      <c r="AJ431" s="3">
        <f>U431*Feuil2!$F$3</f>
        <v>0</v>
      </c>
      <c r="AK431" s="3">
        <f>V431*Feuil2!$G$3</f>
        <v>0</v>
      </c>
      <c r="AL431" s="3">
        <f>W431*Feuil2!$H$3</f>
        <v>0</v>
      </c>
      <c r="AM431" s="3">
        <f>X431*Feuil2!$I$2</f>
        <v>0</v>
      </c>
      <c r="AN431" s="3">
        <f>Y431*Feuil2!$J$3</f>
        <v>0</v>
      </c>
      <c r="AO431" s="3">
        <f>Z431*Feuil2!$K$3</f>
        <v>0</v>
      </c>
      <c r="AP431" s="3">
        <f>AA431*Feuil2!$L$3</f>
        <v>0</v>
      </c>
      <c r="AQ431" s="3">
        <f>AB431*Feuil2!$M$3</f>
        <v>0</v>
      </c>
      <c r="AR431" s="3">
        <f>AC431*Feuil2!$N$3</f>
        <v>5.513501469612212</v>
      </c>
    </row>
    <row r="432" spans="1:44" x14ac:dyDescent="0.35">
      <c r="A432" t="s">
        <v>837</v>
      </c>
      <c r="B432" t="s">
        <v>598</v>
      </c>
      <c r="C432">
        <v>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5</v>
      </c>
      <c r="Q432" s="1">
        <f>C432/$C$434</f>
        <v>1.2342936137648422E-4</v>
      </c>
      <c r="R432" s="1">
        <f t="shared" si="89"/>
        <v>0</v>
      </c>
      <c r="S432" s="1">
        <f t="shared" si="93"/>
        <v>0</v>
      </c>
      <c r="T432" s="1">
        <f t="shared" si="94"/>
        <v>0</v>
      </c>
      <c r="U432" s="1">
        <f t="shared" si="95"/>
        <v>0</v>
      </c>
      <c r="V432" s="1">
        <f t="shared" si="96"/>
        <v>0</v>
      </c>
      <c r="W432" s="1">
        <f t="shared" si="97"/>
        <v>0</v>
      </c>
      <c r="X432" s="1">
        <f t="shared" si="98"/>
        <v>0</v>
      </c>
      <c r="Y432" s="1">
        <f t="shared" si="99"/>
        <v>0</v>
      </c>
      <c r="Z432" s="1">
        <f t="shared" si="90"/>
        <v>0</v>
      </c>
      <c r="AA432" s="1">
        <f t="shared" si="86"/>
        <v>0</v>
      </c>
      <c r="AB432" s="1">
        <f t="shared" si="87"/>
        <v>0</v>
      </c>
      <c r="AC432" s="1">
        <f t="shared" si="88"/>
        <v>1.3168568207915889E-5</v>
      </c>
      <c r="AD432" s="1" t="str">
        <f t="shared" si="91"/>
        <v>carrosserie de bretteville</v>
      </c>
      <c r="AE432" s="1" t="str">
        <f t="shared" si="92"/>
        <v>9133</v>
      </c>
      <c r="AF432" s="3">
        <f>Q432*Feuil2!$B$3</f>
        <v>4.3663037843442192</v>
      </c>
      <c r="AG432" s="3">
        <f>R432*Feuil2!$C$3</f>
        <v>0</v>
      </c>
      <c r="AH432" s="3">
        <f>S432*Feuil2!$D$3</f>
        <v>0</v>
      </c>
      <c r="AI432" s="3">
        <f>T432*Feuil2!$E$2</f>
        <v>0</v>
      </c>
      <c r="AJ432" s="3">
        <f>U432*Feuil2!$F$3</f>
        <v>0</v>
      </c>
      <c r="AK432" s="3">
        <f>V432*Feuil2!$G$3</f>
        <v>0</v>
      </c>
      <c r="AL432" s="3">
        <f>W432*Feuil2!$H$3</f>
        <v>0</v>
      </c>
      <c r="AM432" s="3">
        <f>X432*Feuil2!$I$2</f>
        <v>0</v>
      </c>
      <c r="AN432" s="3">
        <f>Y432*Feuil2!$J$3</f>
        <v>0</v>
      </c>
      <c r="AO432" s="3">
        <f>Z432*Feuil2!$K$3</f>
        <v>0</v>
      </c>
      <c r="AP432" s="3">
        <f>AA432*Feuil2!$L$3</f>
        <v>0</v>
      </c>
      <c r="AQ432" s="3">
        <f>AB432*Feuil2!$M$3</f>
        <v>0</v>
      </c>
      <c r="AR432" s="3">
        <f>AC432*Feuil2!$N$3</f>
        <v>5.513501469612212</v>
      </c>
    </row>
    <row r="433" spans="1:44" x14ac:dyDescent="0.35">
      <c r="A433" t="s">
        <v>838</v>
      </c>
      <c r="B433" t="s">
        <v>839</v>
      </c>
      <c r="C433">
        <v>-129</v>
      </c>
      <c r="D433">
        <v>0</v>
      </c>
      <c r="E433">
        <v>0</v>
      </c>
      <c r="F433">
        <v>0</v>
      </c>
      <c r="G433">
        <v>30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-99</v>
      </c>
      <c r="Q433" s="1">
        <f>C433/$C$434</f>
        <v>-3.1844775235132933E-3</v>
      </c>
      <c r="R433" s="1">
        <f t="shared" si="89"/>
        <v>0</v>
      </c>
      <c r="S433" s="1">
        <f t="shared" si="93"/>
        <v>0</v>
      </c>
      <c r="T433" s="1">
        <f t="shared" si="94"/>
        <v>0</v>
      </c>
      <c r="U433" s="1">
        <f t="shared" si="95"/>
        <v>1.4300695967203738E-3</v>
      </c>
      <c r="V433" s="1">
        <f t="shared" si="96"/>
        <v>0</v>
      </c>
      <c r="W433" s="1">
        <f t="shared" si="97"/>
        <v>0</v>
      </c>
      <c r="X433" s="1">
        <f t="shared" si="98"/>
        <v>0</v>
      </c>
      <c r="Y433" s="1">
        <f t="shared" si="99"/>
        <v>0</v>
      </c>
      <c r="Z433" s="1">
        <f t="shared" si="90"/>
        <v>0</v>
      </c>
      <c r="AA433" s="1">
        <f t="shared" si="86"/>
        <v>0</v>
      </c>
      <c r="AB433" s="1">
        <f t="shared" si="87"/>
        <v>0</v>
      </c>
      <c r="AC433" s="1">
        <f t="shared" si="88"/>
        <v>-2.6073765051673459E-4</v>
      </c>
      <c r="AD433" s="1" t="str">
        <f t="shared" si="91"/>
        <v>LP MECANIQUE AUTO</v>
      </c>
      <c r="AE433" s="1" t="str">
        <f t="shared" si="92"/>
        <v>3629</v>
      </c>
      <c r="AF433" s="3">
        <f>Q433*Feuil2!$B$3</f>
        <v>-112.65063763608086</v>
      </c>
      <c r="AG433" s="3">
        <f>R433*Feuil2!$C$3</f>
        <v>0</v>
      </c>
      <c r="AH433" s="3">
        <f>S433*Feuil2!$D$3</f>
        <v>0</v>
      </c>
      <c r="AI433" s="3">
        <f>T433*Feuil2!$E$2</f>
        <v>0</v>
      </c>
      <c r="AJ433" s="3">
        <f>U433*Feuil2!$F$3</f>
        <v>36.535990084850802</v>
      </c>
      <c r="AK433" s="3">
        <f>V433*Feuil2!$G$3</f>
        <v>0</v>
      </c>
      <c r="AL433" s="3">
        <f>W433*Feuil2!$H$3</f>
        <v>0</v>
      </c>
      <c r="AM433" s="3">
        <f>X433*Feuil2!$I$2</f>
        <v>0</v>
      </c>
      <c r="AN433" s="3">
        <f>Y433*Feuil2!$J$3</f>
        <v>0</v>
      </c>
      <c r="AO433" s="3">
        <f>Z433*Feuil2!$K$3</f>
        <v>0</v>
      </c>
      <c r="AP433" s="3">
        <f>AA433*Feuil2!$L$3</f>
        <v>0</v>
      </c>
      <c r="AQ433" s="3">
        <f>AB433*Feuil2!$M$3</f>
        <v>0</v>
      </c>
      <c r="AR433" s="3">
        <f>AC433*Feuil2!$N$3</f>
        <v>-109.1673290983218</v>
      </c>
    </row>
    <row r="434" spans="1:44" x14ac:dyDescent="0.35">
      <c r="C434">
        <f>SUM(C3:C433)</f>
        <v>40509</v>
      </c>
      <c r="D434">
        <f t="shared" ref="D434:F434" si="100">SUM(D3:D433)</f>
        <v>23722</v>
      </c>
      <c r="E434">
        <f t="shared" si="100"/>
        <v>29459</v>
      </c>
      <c r="F434">
        <f t="shared" si="100"/>
        <v>24903</v>
      </c>
      <c r="G434">
        <f t="shared" ref="G434" si="101">SUM(G3:G433)</f>
        <v>20978</v>
      </c>
      <c r="H434">
        <f t="shared" ref="H434" si="102">SUM(H3:H433)</f>
        <v>29873</v>
      </c>
      <c r="I434">
        <f t="shared" ref="I434" si="103">SUM(I3:I433)</f>
        <v>44658</v>
      </c>
      <c r="J434">
        <f t="shared" ref="J434" si="104">SUM(J3:J433)</f>
        <v>18718</v>
      </c>
      <c r="K434">
        <f t="shared" ref="K434" si="105">SUM(K3:K433)</f>
        <v>39073</v>
      </c>
      <c r="L434">
        <f t="shared" ref="L434" si="106">SUM(L3:L433)</f>
        <v>39408</v>
      </c>
      <c r="M434">
        <f t="shared" ref="M434" si="107">SUM(M3:M433)</f>
        <v>39943</v>
      </c>
      <c r="N434">
        <f t="shared" ref="N434" si="108">SUM(N3:N433)</f>
        <v>28448</v>
      </c>
      <c r="O434">
        <f t="shared" ref="O434" si="109">SUM(O3:O433)</f>
        <v>379692</v>
      </c>
      <c r="Q434" s="1">
        <f>C434/$C$434</f>
        <v>1</v>
      </c>
      <c r="R434" s="1">
        <f t="shared" si="89"/>
        <v>1</v>
      </c>
      <c r="S434" s="1">
        <f t="shared" si="93"/>
        <v>1</v>
      </c>
      <c r="T434" s="1">
        <f t="shared" si="94"/>
        <v>1</v>
      </c>
      <c r="U434" s="1">
        <f t="shared" si="95"/>
        <v>1</v>
      </c>
      <c r="V434" s="1">
        <f t="shared" si="96"/>
        <v>1</v>
      </c>
      <c r="W434" s="1">
        <f t="shared" si="97"/>
        <v>1</v>
      </c>
      <c r="X434" s="1">
        <f t="shared" si="98"/>
        <v>1</v>
      </c>
      <c r="Y434" s="1">
        <f t="shared" si="99"/>
        <v>1</v>
      </c>
      <c r="Z434" s="1">
        <f t="shared" si="90"/>
        <v>1</v>
      </c>
      <c r="AA434" s="1">
        <f t="shared" si="86"/>
        <v>1</v>
      </c>
      <c r="AB434" s="1">
        <f t="shared" si="87"/>
        <v>1</v>
      </c>
      <c r="AC434" s="1">
        <f t="shared" si="88"/>
        <v>1</v>
      </c>
      <c r="AD434" s="1">
        <f t="shared" si="91"/>
        <v>0</v>
      </c>
      <c r="AE434" s="1">
        <f t="shared" si="92"/>
        <v>0</v>
      </c>
      <c r="AF434" s="4">
        <f>SUM(AF3:AF433)</f>
        <v>35374.92000000002</v>
      </c>
      <c r="AG434" s="4">
        <f t="shared" ref="AG434:AR434" si="110">SUM(AG3:AG433)</f>
        <v>35374.919999999991</v>
      </c>
      <c r="AH434" s="4">
        <f t="shared" si="110"/>
        <v>39297.800000000003</v>
      </c>
      <c r="AI434" s="4">
        <f t="shared" si="110"/>
        <v>37483</v>
      </c>
      <c r="AJ434" s="4">
        <f t="shared" si="110"/>
        <v>25548.400000000009</v>
      </c>
      <c r="AK434" s="4">
        <f t="shared" si="110"/>
        <v>40287.720000000045</v>
      </c>
      <c r="AL434" s="4">
        <f t="shared" si="110"/>
        <v>36357.479999999974</v>
      </c>
      <c r="AM434" s="4">
        <f t="shared" si="110"/>
        <v>21362</v>
      </c>
      <c r="AN434" s="4">
        <f t="shared" si="110"/>
        <v>42252.83999999996</v>
      </c>
      <c r="AO434" s="4">
        <f t="shared" si="110"/>
        <v>40287.72</v>
      </c>
      <c r="AP434" s="4">
        <f t="shared" si="110"/>
        <v>36357.480000000018</v>
      </c>
      <c r="AQ434" s="4">
        <f t="shared" si="110"/>
        <v>33409.799999999988</v>
      </c>
      <c r="AR434" s="4">
        <f t="shared" si="110"/>
        <v>418686.47999999986</v>
      </c>
    </row>
    <row r="435" spans="1:44" x14ac:dyDescent="0.35">
      <c r="AD435" s="1">
        <f t="shared" si="91"/>
        <v>0</v>
      </c>
      <c r="AE435" s="1">
        <f t="shared" si="92"/>
        <v>0</v>
      </c>
      <c r="AF435" t="b">
        <f>AF434=Feuil2!B3</f>
        <v>1</v>
      </c>
      <c r="AG435" t="b">
        <f>AG434=Feuil2!C3</f>
        <v>1</v>
      </c>
      <c r="AH435" t="b">
        <f>AH434=Feuil2!D3</f>
        <v>1</v>
      </c>
      <c r="AI435" t="b">
        <f>AI434=Feuil2!E3</f>
        <v>0</v>
      </c>
      <c r="AJ435" t="b">
        <f>AJ434=Feuil2!F3</f>
        <v>1</v>
      </c>
      <c r="AK435" t="b">
        <f>AK434=Feuil2!G3</f>
        <v>1</v>
      </c>
      <c r="AL435" t="b">
        <f>AL434=Feuil2!H3</f>
        <v>1</v>
      </c>
      <c r="AM435" t="b">
        <f>AM434=Feuil2!I3</f>
        <v>0</v>
      </c>
      <c r="AN435" t="b">
        <f>AN434=Feuil2!J3</f>
        <v>1</v>
      </c>
      <c r="AO435" t="b">
        <f>AO434=Feuil2!K3</f>
        <v>1</v>
      </c>
      <c r="AP435" t="b">
        <f>AP434=Feuil2!L3</f>
        <v>1</v>
      </c>
      <c r="AQ435" t="b">
        <f>AQ434=Feuil2!M3</f>
        <v>1</v>
      </c>
      <c r="AR435" t="b">
        <f>AR434=Feuil2!N3</f>
        <v>1</v>
      </c>
    </row>
    <row r="436" spans="1:44" x14ac:dyDescent="0.35">
      <c r="C436" s="1">
        <f>C434/$O$434</f>
        <v>0.10668910590689296</v>
      </c>
      <c r="D436" s="1">
        <f t="shared" ref="D436:O436" si="111">D434/$O$434</f>
        <v>6.2476955005636145E-2</v>
      </c>
      <c r="E436" s="1">
        <f t="shared" si="111"/>
        <v>7.7586570167398838E-2</v>
      </c>
      <c r="F436" s="1">
        <f t="shared" si="111"/>
        <v>6.5587370816345886E-2</v>
      </c>
      <c r="G436" s="1">
        <f t="shared" si="111"/>
        <v>5.5250044773131904E-2</v>
      </c>
      <c r="H436" s="1">
        <f t="shared" si="111"/>
        <v>7.8676927615014269E-2</v>
      </c>
      <c r="I436" s="1">
        <f t="shared" si="111"/>
        <v>0.11761638380582157</v>
      </c>
      <c r="J436" s="1">
        <f t="shared" si="111"/>
        <v>4.9297851943153927E-2</v>
      </c>
      <c r="K436" s="1">
        <f t="shared" si="111"/>
        <v>0.10290709311757951</v>
      </c>
      <c r="L436" s="1">
        <f t="shared" si="111"/>
        <v>0.10378938718750988</v>
      </c>
      <c r="M436" s="1">
        <f t="shared" si="111"/>
        <v>0.10519842398575688</v>
      </c>
      <c r="N436" s="1">
        <f t="shared" si="111"/>
        <v>7.4923885675758251E-2</v>
      </c>
      <c r="O436" s="1">
        <f t="shared" si="111"/>
        <v>1</v>
      </c>
    </row>
  </sheetData>
  <phoneticPr fontId="2" type="noConversion"/>
  <pageMargins left="0.7" right="0.7" top="0.75" bottom="0.75" header="0.3" footer="0.3"/>
  <ignoredErrors>
    <ignoredError sqref="A2:O4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3745D-33BC-4DB1-8676-D0D7891D98D0}">
  <dimension ref="A1:N8"/>
  <sheetViews>
    <sheetView workbookViewId="0">
      <selection activeCell="N3" sqref="N3:N6"/>
    </sheetView>
  </sheetViews>
  <sheetFormatPr baseColWidth="10" defaultRowHeight="15.5" x14ac:dyDescent="0.35"/>
  <sheetData>
    <row r="1" spans="1:14" x14ac:dyDescent="0.35">
      <c r="B1" t="s">
        <v>841</v>
      </c>
      <c r="C1" t="s">
        <v>842</v>
      </c>
      <c r="D1" t="s">
        <v>843</v>
      </c>
      <c r="E1" t="s">
        <v>844</v>
      </c>
      <c r="F1" t="s">
        <v>845</v>
      </c>
      <c r="G1" t="s">
        <v>846</v>
      </c>
      <c r="H1" t="s">
        <v>847</v>
      </c>
      <c r="I1" t="s">
        <v>848</v>
      </c>
      <c r="J1" t="s">
        <v>849</v>
      </c>
      <c r="K1" t="s">
        <v>850</v>
      </c>
      <c r="L1" t="s">
        <v>851</v>
      </c>
      <c r="M1" t="s">
        <v>852</v>
      </c>
    </row>
    <row r="2" spans="1:14" x14ac:dyDescent="0.35">
      <c r="B2" s="3">
        <v>38451</v>
      </c>
      <c r="C2" s="3">
        <v>38451</v>
      </c>
      <c r="D2" s="3">
        <v>42715</v>
      </c>
      <c r="E2" s="3">
        <v>37483</v>
      </c>
      <c r="F2" s="3">
        <v>27770</v>
      </c>
      <c r="G2" s="3">
        <v>43791</v>
      </c>
      <c r="H2" s="3">
        <v>39519</v>
      </c>
      <c r="I2" s="3">
        <v>21362</v>
      </c>
      <c r="J2" s="3">
        <v>45927</v>
      </c>
      <c r="K2" s="3">
        <v>43791</v>
      </c>
      <c r="L2" s="3">
        <v>39519</v>
      </c>
      <c r="M2" s="3">
        <v>36315</v>
      </c>
    </row>
    <row r="3" spans="1:14" x14ac:dyDescent="0.35">
      <c r="A3" t="s">
        <v>853</v>
      </c>
      <c r="B3" s="3">
        <v>35374.92</v>
      </c>
      <c r="C3" s="3">
        <v>35374.92</v>
      </c>
      <c r="D3" s="3">
        <v>39297.800000000003</v>
      </c>
      <c r="E3" s="3">
        <v>34484.36</v>
      </c>
      <c r="F3" s="3">
        <v>25548.400000000001</v>
      </c>
      <c r="G3" s="3">
        <v>40287.72</v>
      </c>
      <c r="H3" s="3">
        <v>36357.480000000003</v>
      </c>
      <c r="I3" s="3">
        <v>19653.04</v>
      </c>
      <c r="J3" s="3">
        <v>42252.840000000004</v>
      </c>
      <c r="K3" s="3">
        <v>40287.72</v>
      </c>
      <c r="L3" s="3">
        <v>36357.480000000003</v>
      </c>
      <c r="M3" s="3">
        <v>33409.800000000003</v>
      </c>
      <c r="N3" s="4">
        <f>SUM(B3:M3)</f>
        <v>418686.48000000004</v>
      </c>
    </row>
    <row r="4" spans="1:14" x14ac:dyDescent="0.35">
      <c r="A4" t="s">
        <v>854</v>
      </c>
      <c r="B4" s="4">
        <v>1922.5500000000002</v>
      </c>
      <c r="C4" s="4">
        <v>1922.5500000000002</v>
      </c>
      <c r="D4" s="4">
        <v>2135.75</v>
      </c>
      <c r="E4" s="4">
        <v>1874.15</v>
      </c>
      <c r="F4" s="4">
        <v>1388.5</v>
      </c>
      <c r="G4" s="4">
        <v>2189.5500000000002</v>
      </c>
      <c r="H4" s="4">
        <v>1975.95</v>
      </c>
      <c r="I4" s="4">
        <v>1068.1000000000001</v>
      </c>
      <c r="J4" s="4">
        <v>2296.35</v>
      </c>
      <c r="K4" s="4">
        <v>2189.5500000000002</v>
      </c>
      <c r="L4" s="4">
        <v>1975.95</v>
      </c>
      <c r="M4" s="4">
        <v>1815.75</v>
      </c>
      <c r="N4" s="4">
        <f t="shared" ref="N4:N6" si="0">SUM(B4:M4)</f>
        <v>22754.7</v>
      </c>
    </row>
    <row r="5" spans="1:14" x14ac:dyDescent="0.35">
      <c r="A5" t="s">
        <v>855</v>
      </c>
      <c r="B5" s="4">
        <v>769.02</v>
      </c>
      <c r="C5" s="4">
        <v>769.02</v>
      </c>
      <c r="D5" s="4">
        <v>854.30000000000007</v>
      </c>
      <c r="E5" s="4">
        <v>749.66</v>
      </c>
      <c r="F5" s="4">
        <v>555.4</v>
      </c>
      <c r="G5" s="4">
        <v>875.82</v>
      </c>
      <c r="H5" s="4">
        <v>790.38</v>
      </c>
      <c r="I5" s="4">
        <v>427.24</v>
      </c>
      <c r="J5" s="4">
        <v>918.54</v>
      </c>
      <c r="K5" s="4">
        <v>875.82</v>
      </c>
      <c r="L5" s="4">
        <v>790.38</v>
      </c>
      <c r="M5" s="4">
        <v>726.30000000000007</v>
      </c>
      <c r="N5" s="4">
        <f t="shared" si="0"/>
        <v>9101.8799999999992</v>
      </c>
    </row>
    <row r="6" spans="1:14" x14ac:dyDescent="0.35">
      <c r="A6" t="s">
        <v>856</v>
      </c>
      <c r="B6" s="4">
        <v>384.51</v>
      </c>
      <c r="C6" s="4">
        <v>384.51</v>
      </c>
      <c r="D6" s="4">
        <v>427.15000000000003</v>
      </c>
      <c r="E6" s="4">
        <v>374.83</v>
      </c>
      <c r="F6" s="4">
        <v>277.7</v>
      </c>
      <c r="G6" s="4">
        <v>437.91</v>
      </c>
      <c r="H6" s="4">
        <v>395.19</v>
      </c>
      <c r="I6" s="4">
        <v>213.62</v>
      </c>
      <c r="J6" s="4">
        <v>459.27</v>
      </c>
      <c r="K6" s="4">
        <v>437.91</v>
      </c>
      <c r="L6" s="4">
        <v>395.19</v>
      </c>
      <c r="M6" s="4">
        <v>363.15000000000003</v>
      </c>
      <c r="N6" s="4">
        <f t="shared" si="0"/>
        <v>4550.9399999999996</v>
      </c>
    </row>
    <row r="8" spans="1:14" x14ac:dyDescent="0.35"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Budget2026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CORTES DO NASCIMENTO</cp:lastModifiedBy>
  <dcterms:modified xsi:type="dcterms:W3CDTF">2026-06-08T20:04:41Z</dcterms:modified>
</cp:coreProperties>
</file>